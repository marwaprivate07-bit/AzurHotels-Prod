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/>
  </bookViews>
  <sheets>
    <sheet name="ED$B16B" sheetId="1" r:id="rId1"/>
  </sheets>
  <calcPr calcId="125725"/>
</workbook>
</file>

<file path=xl/calcChain.xml><?xml version="1.0" encoding="utf-8"?>
<calcChain xmlns="http://schemas.openxmlformats.org/spreadsheetml/2006/main">
  <c r="F16" i="1"/>
  <c r="F14"/>
  <c r="F15"/>
  <c r="F13"/>
</calcChain>
</file>

<file path=xl/sharedStrings.xml><?xml version="1.0" encoding="utf-8"?>
<sst xmlns="http://schemas.openxmlformats.org/spreadsheetml/2006/main" count="141" uniqueCount="134">
  <si>
    <t>V:8.0i/BCT230/TR/LV/HT/G /                                    H O T I X                                      2304  BEL AZUR CPT 2023</t>
  </si>
  <si>
    <t>18.02.26                          BALANCE FIN DE PERIODE - COMPTABILITE GENERALE   01/23  =&gt;  12/23                        12:30 (1)</t>
  </si>
  <si>
    <t>Compte   Intitule du compte</t>
  </si>
  <si>
    <t>A Nouveau</t>
  </si>
  <si>
    <t>Cumul debit</t>
  </si>
  <si>
    <t>Cumul credit</t>
  </si>
  <si>
    <t>Solde debit</t>
  </si>
  <si>
    <t>Solde credit</t>
  </si>
  <si>
    <t>6*****  COMPTES DE CHARGES</t>
  </si>
  <si>
    <t>60****  ACHATS</t>
  </si>
  <si>
    <t>604300  ACHATS TRANSFERTS</t>
  </si>
  <si>
    <t>606400  "ACH.NON STOCKES  ""EAU"""</t>
  </si>
  <si>
    <t>606500  "ACH.NON STOCKES ""ELECTRICITE</t>
  </si>
  <si>
    <t>606501  ACHAT NON STOCKES "GAZ"</t>
  </si>
  <si>
    <t>606502  ACH. NON STOCKES CARBURANT</t>
  </si>
  <si>
    <t>606505  ACH.NON STOCKES POTERIE</t>
  </si>
  <si>
    <t>606525  ACH.STOCKES FOUR.MAT.SANITAIRE</t>
  </si>
  <si>
    <t>606545  ACH.STOCKES FOUR.MAT.BUREAU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</si>
  <si>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</si>
  <si>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</si>
  <si>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</si>
  <si>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</si>
  <si>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</si>
  <si>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606686  ACH.STOCKES FOUR.MAT.MEUNUI</t>
  </si>
  <si>
    <t>606707  ACH.STOCKES FOUR.MAT.PEINTURE</t>
  </si>
  <si>
    <t>606727  ACH.STOCK.MAT.BATIMENT</t>
  </si>
  <si>
    <t>606747  ACH.PETIT OUTILLAGE</t>
  </si>
  <si>
    <t>606767  ACH.STOCKES MAT.D'EXPL.LINGE</t>
  </si>
  <si>
    <t>606777  ACHAT CON UNIFORME</t>
  </si>
  <si>
    <t>606787  ACH.STOCK.MAT.PLASTIQUE</t>
  </si>
  <si>
    <t>606808  ACH.STOCK.MAT.JARDIN</t>
  </si>
  <si>
    <t>606818  ACHAT CONS PRO ACCEILLE</t>
  </si>
  <si>
    <t>606828  ACH.STOCKES MAT.PROD. D'ENTETI</t>
  </si>
  <si>
    <t>606848  ACH.STOCK.ART.DECORATION</t>
  </si>
  <si>
    <t>606868  ACH</t>
  </si>
  <si>
    <t>606909  ACH.PIECES.ENT &amp; REPAR</t>
  </si>
  <si>
    <t>606929  ACH.MAT.SONORISATION</t>
  </si>
  <si>
    <t>606949  ACH. STOCKES FOUR. MAT. FRIGOR</t>
  </si>
  <si>
    <t>606969  ACH.P.MAT.D'EXPLOITATION</t>
  </si>
  <si>
    <t>606989  ACH.STOCKES FOUR.MAT.BUANDERIE</t>
  </si>
  <si>
    <t>607061  ACHATS EMBALLAGE COMMERCIAUX</t>
  </si>
  <si>
    <t>607100  ACH CONSOMMES DENREES ALIMENTA</t>
  </si>
  <si>
    <t>607200  ACH CONSOM BOISSONS N. ALCOOL</t>
  </si>
  <si>
    <t>607300  ACH CONSOM BOISSONS ALCOOL</t>
  </si>
  <si>
    <t>607400  ACHAT CONSOM PDTS D'ENTRETIEN</t>
  </si>
  <si>
    <t>609000  R R R  OBTENUS /ACHATS</t>
  </si>
  <si>
    <t>TOTAL   60**** ACHATS</t>
  </si>
  <si>
    <t>61****  SERVICES EXTERIEURS</t>
  </si>
  <si>
    <t>615000  ENTRETIEN ET REPARATION</t>
  </si>
  <si>
    <t>615100  "ENTRET.&amp; REPARAT.""PARCK-AUTO</t>
  </si>
  <si>
    <t>616000  PRIMES  D'ASSURANCES</t>
  </si>
  <si>
    <t>617000  ETUDE.RECH.DIVERS SCE.EXTER</t>
  </si>
  <si>
    <t>TOTAL   61**** SERVICES EXTERIEURS</t>
  </si>
  <si>
    <t>62****  AUTRES SERVICES EXTERIEURS</t>
  </si>
  <si>
    <t>620000  AUTRES SERVICES EXTERIEURS</t>
  </si>
  <si>
    <t>621000  PERSON.EXTER.A L'ENTREP.</t>
  </si>
  <si>
    <t>621400  PERS EXR ENREP DIVERTISSEMENT</t>
  </si>
  <si>
    <t>623000  PUBLIC.PUBLICAT.RELATION PUBL</t>
  </si>
  <si>
    <t>624000  TRANSPORT DE BIENS</t>
  </si>
  <si>
    <t>624800  DIVERS    *TRANSPORT*</t>
  </si>
  <si>
    <t>625100  VOYAGES MISSION A L'ETRANGER</t>
  </si>
  <si>
    <t>626000  REDEV.TELEPHON./FAX./TIMBRES</t>
  </si>
  <si>
    <t>627000  "AUTRES SCE EXTER.""SCE BANC.&amp;</t>
  </si>
  <si>
    <t>TOTAL   62**** AUTRES SERVICES EXTERIE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</si>
  <si>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</si>
  <si>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</si>
  <si>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</si>
  <si>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</si>
  <si>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</si>
  <si>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</si>
  <si>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646200  INDEMNITES PREAVIS &amp; LICENCEM</t>
  </si>
  <si>
    <t>TOTAL   64**** CHARGES DE PERSONNEL</t>
  </si>
  <si>
    <t>65****  CHARGES FINANCIERES</t>
  </si>
  <si>
    <t>650000  CHARGES FINANCIERES</t>
  </si>
  <si>
    <t>651000  CHARGES D'INTERETS/EMPRUNTS</t>
  </si>
  <si>
    <t>651160  INTERETS DS EMPRUNTS &amp; DETTES</t>
  </si>
  <si>
    <t>651800  INTERETS ET AUTRES DETTES</t>
  </si>
  <si>
    <t>655000  PERTES DE CHANGE</t>
  </si>
  <si>
    <t>TOTAL   65**** CHARGES FINANCIERES</t>
  </si>
  <si>
    <t>66****  IMPOTS TAXES &amp; VERS ASSIM</t>
  </si>
  <si>
    <t>660100  T F P</t>
  </si>
  <si>
    <t>660200  F O P R O L O S</t>
  </si>
  <si>
    <t>660800  AUTRES</t>
  </si>
  <si>
    <t>661400  RECEVEUR DE FINANCES VIGNETTE</t>
  </si>
  <si>
    <t>665100  IMPOTS ET TAXES DIVERS</t>
  </si>
  <si>
    <t>665200  TAXES/CHIFF.D'AFFA.NON RECUPE</t>
  </si>
  <si>
    <t>665400  DROITS DE TIMBRES</t>
  </si>
  <si>
    <t>TOTAL   66**** IMPOTS TAXES &amp; VERS ASS</t>
  </si>
  <si>
    <t>68****  DOTATIONS AMORTISS. ET PROVS.</t>
  </si>
  <si>
    <t>680000  DOTATIONS AUX AMORTIS.&amp; PROVI</t>
  </si>
  <si>
    <t>TOTAL   68**** DOTATIONS AMORTISS. ET</t>
  </si>
  <si>
    <t>69****  IMPOTS SUR LES BENEFICES</t>
  </si>
  <si>
    <t>690000  IMPOTS SUR LES BENEFICES</t>
  </si>
  <si>
    <t>TOTAL   69**** IMPOTS SUR LES BENEFICE</t>
  </si>
  <si>
    <t>TOTAL   6***** COMPTES DE CHARGES</t>
  </si>
  <si>
    <t>7*****  COMPTES DE PRODUITS</t>
  </si>
  <si>
    <t>70****  VENTES MARCH.PREST.DE SERVICES</t>
  </si>
  <si>
    <t>700502  PRESATATIONS BARS</t>
  </si>
  <si>
    <t>700503  PRESTATIONS LOGEMENTS</t>
  </si>
  <si>
    <t>700504  PRESTATIONS RESTAURANTS</t>
  </si>
  <si>
    <t>700505  PRESTATIONS TELEPH.TELEX</t>
  </si>
  <si>
    <t>700507  PRESTATIONS BLANCHISSERIE</t>
  </si>
  <si>
    <t>700508  PRESTATIONS JEUX &amp; PLAGE</t>
  </si>
  <si>
    <t>700509  AUTRES PROD.DIVERS &amp; DEBOURS</t>
  </si>
  <si>
    <t>700511  TRANSFERT</t>
  </si>
  <si>
    <t>700901  R.R.R ACCORDER/PREST.SCE</t>
  </si>
  <si>
    <t>705030  VTE SUSPENTION TVA "LOGEMENT"</t>
  </si>
  <si>
    <t>TOTAL   70**** VENTES MARCH.PREST.DE S</t>
  </si>
  <si>
    <t>73****  PRODUITS DIVERS ORDINAIRES</t>
  </si>
  <si>
    <t>730000  PRODUITS DIVERS ORDINAIRES</t>
  </si>
  <si>
    <t>730100  PRODUITS LOCATIONS LOCAUX</t>
  </si>
  <si>
    <t>730200  PRODUITS DE CHANGES</t>
  </si>
  <si>
    <t>736200  PROFIT/CESSION IMMO. FINANC.</t>
  </si>
  <si>
    <t>TOTAL   73**** PRODUITS DIVERS ORDINAI</t>
  </si>
  <si>
    <t>75****  PRODUITS FINANCIERS</t>
  </si>
  <si>
    <t>750000  PRODUITS  FINANCIERS</t>
  </si>
  <si>
    <t>750100  PRODUITS DE PARTICIPATIONS</t>
  </si>
  <si>
    <t>750600  GAINS DE CHANGE</t>
  </si>
  <si>
    <t>TOTAL   75**** PRODUITS FINANCIERS</t>
  </si>
  <si>
    <t>77****  PRODUITS EXCEPTIONNELS</t>
  </si>
  <si>
    <t>770000  GAINS EXTRAORDINAIRES</t>
  </si>
  <si>
    <t>TOTAL   77**** PRODUITS EXCEPTIONNELS</t>
  </si>
  <si>
    <t>79****  TRANSFERTS DE CHARGES</t>
  </si>
  <si>
    <t>790000  TRANSFERTS  DE CHARGES</t>
  </si>
  <si>
    <t>TOTAL   79000*</t>
  </si>
  <si>
    <t>TOTAL   7900**</t>
  </si>
  <si>
    <t>TOTAL   790***</t>
  </si>
  <si>
    <t>TOTAL   79**** TRANSFERTS DE CHARGES</t>
  </si>
  <si>
    <t>TOTAL   7***** COMPTES DE PRODUITS</t>
  </si>
  <si>
    <t>T O T A L   C O N T R O L E</t>
  </si>
  <si>
    <t xml:space="preserve">                                                                                                                                    </t>
  </si>
  <si>
    <t>Niveau   Intitule Totalisation</t>
  </si>
  <si>
    <t>1     COMPTES D'EXPLOITATION</t>
  </si>
  <si>
    <t>STOCKES FOUR,MAT,CUISINE</t>
  </si>
</sst>
</file>

<file path=xl/styles.xml><?xml version="1.0" encoding="utf-8"?>
<styleSheet xmlns="http://schemas.openxmlformats.org/spreadsheetml/2006/main">
  <numFmts count="1">
    <numFmt numFmtId="164" formatCode="#,##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34" borderId="0" xfId="0" applyFill="1"/>
    <xf numFmtId="164" fontId="0" fillId="34" borderId="0" xfId="0" applyNumberFormat="1" applyFill="1"/>
    <xf numFmtId="164" fontId="18" fillId="34" borderId="0" xfId="0" applyNumberFormat="1" applyFont="1" applyFill="1"/>
    <xf numFmtId="0" fontId="18" fillId="35" borderId="0" xfId="0" applyFont="1" applyFill="1"/>
    <xf numFmtId="164" fontId="18" fillId="35" borderId="0" xfId="0" applyNumberFormat="1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220"/>
  <sheetViews>
    <sheetView tabSelected="1" zoomScale="70" zoomScaleNormal="70" workbookViewId="0">
      <selection activeCell="G30" sqref="G30"/>
    </sheetView>
  </sheetViews>
  <sheetFormatPr baseColWidth="10" defaultRowHeight="14.5"/>
  <cols>
    <col min="1" max="1" width="42.7265625" customWidth="1"/>
    <col min="2" max="2" width="26.54296875" bestFit="1" customWidth="1"/>
    <col min="3" max="4" width="13.453125" bestFit="1" customWidth="1"/>
    <col min="5" max="5" width="13.453125" style="4" bestFit="1" customWidth="1"/>
    <col min="6" max="6" width="13.453125" bestFit="1" customWidth="1"/>
  </cols>
  <sheetData>
    <row r="2" spans="1:6">
      <c r="A2" t="s">
        <v>0</v>
      </c>
    </row>
    <row r="3" spans="1:6">
      <c r="A3" t="s">
        <v>1</v>
      </c>
    </row>
    <row r="5" spans="1:6">
      <c r="A5" t="s">
        <v>2</v>
      </c>
      <c r="B5" t="s">
        <v>3</v>
      </c>
      <c r="C5" t="s">
        <v>4</v>
      </c>
      <c r="D5" t="s">
        <v>5</v>
      </c>
      <c r="E5" s="4" t="s">
        <v>6</v>
      </c>
      <c r="F5" t="s">
        <v>7</v>
      </c>
    </row>
    <row r="7" spans="1:6">
      <c r="A7" t="s">
        <v>8</v>
      </c>
    </row>
    <row r="8" spans="1:6">
      <c r="B8" s="1"/>
      <c r="C8" s="1"/>
      <c r="D8" s="1"/>
      <c r="E8" s="5"/>
      <c r="F8" s="1"/>
    </row>
    <row r="9" spans="1:6">
      <c r="A9" t="s">
        <v>9</v>
      </c>
      <c r="B9" s="1"/>
      <c r="C9" s="1"/>
      <c r="D9" s="1"/>
      <c r="E9" s="5"/>
      <c r="F9" s="1"/>
    </row>
    <row r="10" spans="1:6">
      <c r="B10" s="1"/>
      <c r="C10" s="1"/>
      <c r="D10" s="1"/>
      <c r="E10" s="5"/>
      <c r="F10" s="1"/>
    </row>
    <row r="11" spans="1:6">
      <c r="A11" t="s">
        <v>10</v>
      </c>
      <c r="B11" s="1"/>
      <c r="C11" s="1">
        <v>27803.733</v>
      </c>
      <c r="D11" s="1"/>
      <c r="E11" s="5">
        <v>27803.733</v>
      </c>
      <c r="F11" s="1"/>
    </row>
    <row r="12" spans="1:6">
      <c r="B12" s="1"/>
      <c r="C12" s="1"/>
      <c r="D12" s="1"/>
      <c r="E12" s="5"/>
      <c r="F12" s="1"/>
    </row>
    <row r="13" spans="1:6">
      <c r="A13" s="2" t="s">
        <v>11</v>
      </c>
      <c r="B13" s="3"/>
      <c r="C13" s="3">
        <v>610683.70600000001</v>
      </c>
      <c r="D13" s="3"/>
      <c r="E13" s="5">
        <v>610683.70600000001</v>
      </c>
      <c r="F13" s="1">
        <f>E13*0.5</f>
        <v>305341.853</v>
      </c>
    </row>
    <row r="14" spans="1:6">
      <c r="A14" s="2" t="s">
        <v>12</v>
      </c>
      <c r="B14" s="3"/>
      <c r="C14" s="3">
        <v>2518886.0460000001</v>
      </c>
      <c r="D14" s="3"/>
      <c r="E14" s="5">
        <v>2518886.0460000001</v>
      </c>
      <c r="F14" s="1">
        <f t="shared" ref="F14:F15" si="0">E14*0.5</f>
        <v>1259443.023</v>
      </c>
    </row>
    <row r="15" spans="1:6">
      <c r="A15" s="2" t="s">
        <v>13</v>
      </c>
      <c r="B15" s="3"/>
      <c r="C15" s="3">
        <v>865152.12</v>
      </c>
      <c r="D15" s="3"/>
      <c r="E15" s="5">
        <v>865152.12</v>
      </c>
      <c r="F15" s="1">
        <f t="shared" si="0"/>
        <v>432576.06</v>
      </c>
    </row>
    <row r="16" spans="1:6">
      <c r="A16" s="7" t="s">
        <v>14</v>
      </c>
      <c r="B16" s="8"/>
      <c r="C16" s="8">
        <v>16452.027999999998</v>
      </c>
      <c r="D16" s="8">
        <v>1.8169999999999999</v>
      </c>
      <c r="E16" s="6">
        <v>16450.210999999999</v>
      </c>
      <c r="F16" s="1">
        <f>E16*0.5</f>
        <v>8225.1054999999997</v>
      </c>
    </row>
    <row r="17" spans="1:6">
      <c r="A17" t="s">
        <v>15</v>
      </c>
      <c r="B17" s="1"/>
      <c r="C17" s="1">
        <v>889.28800000000001</v>
      </c>
      <c r="D17" s="1"/>
      <c r="E17" s="5">
        <v>889.28800000000001</v>
      </c>
      <c r="F17" s="1"/>
    </row>
    <row r="18" spans="1:6">
      <c r="A18" t="s">
        <v>16</v>
      </c>
      <c r="B18" s="1"/>
      <c r="C18" s="1">
        <v>40359.633999999998</v>
      </c>
      <c r="D18" s="1">
        <v>107.062</v>
      </c>
      <c r="E18" s="5">
        <v>40252.572</v>
      </c>
      <c r="F18" s="1"/>
    </row>
    <row r="19" spans="1:6">
      <c r="A19" t="s">
        <v>17</v>
      </c>
      <c r="B19" s="1"/>
      <c r="C19" s="1">
        <v>55690.661999999997</v>
      </c>
      <c r="D19" s="1">
        <v>7.0449999999999999</v>
      </c>
      <c r="E19" s="5">
        <v>55683.616999999998</v>
      </c>
      <c r="F19" s="1"/>
    </row>
    <row r="20" spans="1:6">
      <c r="A20" t="s">
        <v>18</v>
      </c>
      <c r="B20" s="1"/>
      <c r="C20" s="1">
        <v>2737.3939999999998</v>
      </c>
      <c r="D20" s="1">
        <v>181.74</v>
      </c>
      <c r="E20" s="5">
        <v>2555.654</v>
      </c>
      <c r="F20" s="1"/>
    </row>
    <row r="21" spans="1:6">
      <c r="A21" t="s">
        <v>19</v>
      </c>
      <c r="B21" s="1"/>
      <c r="C21" s="1">
        <v>819.077</v>
      </c>
      <c r="D21" s="1">
        <v>7.0000000000000001E-3</v>
      </c>
      <c r="E21" s="5">
        <v>819.07</v>
      </c>
      <c r="F21" s="1"/>
    </row>
    <row r="22" spans="1:6">
      <c r="A22" t="s">
        <v>20</v>
      </c>
      <c r="B22" s="1"/>
      <c r="C22" s="1">
        <v>4445.3059999999996</v>
      </c>
      <c r="D22" s="1">
        <v>3.0000000000000001E-3</v>
      </c>
      <c r="E22" s="5">
        <v>4445.3029999999999</v>
      </c>
      <c r="F22" s="1"/>
    </row>
    <row r="23" spans="1:6">
      <c r="A23" t="s">
        <v>21</v>
      </c>
      <c r="B23" s="1"/>
      <c r="C23" s="1">
        <v>8974.2209999999995</v>
      </c>
      <c r="D23" s="1">
        <v>5.8999999999999997E-2</v>
      </c>
      <c r="E23" s="5">
        <v>8974.1620000000003</v>
      </c>
      <c r="F23" s="1"/>
    </row>
    <row r="24" spans="1:6">
      <c r="A24" t="s">
        <v>22</v>
      </c>
      <c r="B24" s="1"/>
      <c r="C24" s="1">
        <v>70937.222999999998</v>
      </c>
      <c r="D24" s="1">
        <v>558.08100000000002</v>
      </c>
      <c r="E24" s="5">
        <v>70379.142000000007</v>
      </c>
      <c r="F24" s="1"/>
    </row>
    <row r="25" spans="1:6">
      <c r="A25" t="s">
        <v>23</v>
      </c>
      <c r="B25" s="1"/>
      <c r="C25" s="1">
        <v>37128.108999999997</v>
      </c>
      <c r="D25" s="1">
        <v>150.113</v>
      </c>
      <c r="E25" s="5">
        <v>36977.995999999999</v>
      </c>
      <c r="F25" s="1"/>
    </row>
    <row r="26" spans="1:6">
      <c r="A26" t="s">
        <v>24</v>
      </c>
      <c r="B26" s="1"/>
      <c r="C26" s="1">
        <v>17503.214</v>
      </c>
      <c r="D26" s="1">
        <v>0.26</v>
      </c>
      <c r="E26" s="5">
        <v>17502.954000000002</v>
      </c>
      <c r="F26" s="1"/>
    </row>
    <row r="27" spans="1:6">
      <c r="A27" t="s">
        <v>25</v>
      </c>
      <c r="B27" s="1"/>
      <c r="C27" s="1">
        <v>13238.519</v>
      </c>
      <c r="D27" s="1">
        <v>4.9000000000000002E-2</v>
      </c>
      <c r="E27" s="5">
        <v>13238.47</v>
      </c>
      <c r="F27" s="1"/>
    </row>
    <row r="28" spans="1:6">
      <c r="A28" t="s">
        <v>26</v>
      </c>
      <c r="B28" s="1"/>
      <c r="C28" s="1">
        <v>17153.121999999999</v>
      </c>
      <c r="D28" s="1">
        <v>7371.9669999999996</v>
      </c>
      <c r="E28" s="5">
        <v>9781.1550000000007</v>
      </c>
      <c r="F28" s="1"/>
    </row>
    <row r="29" spans="1:6">
      <c r="A29" t="s">
        <v>27</v>
      </c>
      <c r="B29" s="1"/>
      <c r="C29" s="1">
        <v>32845.453000000001</v>
      </c>
      <c r="D29" s="1">
        <v>6.8000000000000005E-2</v>
      </c>
      <c r="E29" s="5">
        <v>32845.385000000002</v>
      </c>
      <c r="F29" s="1"/>
    </row>
    <row r="30" spans="1:6">
      <c r="A30" t="s">
        <v>28</v>
      </c>
      <c r="B30" s="1"/>
      <c r="C30" s="1">
        <v>34927.962</v>
      </c>
      <c r="D30" s="1"/>
      <c r="E30" s="5">
        <v>34927.962</v>
      </c>
      <c r="F30" s="1"/>
    </row>
    <row r="31" spans="1:6">
      <c r="A31" t="s">
        <v>29</v>
      </c>
      <c r="B31" s="1"/>
      <c r="C31" s="1">
        <v>8427.4120000000003</v>
      </c>
      <c r="D31" s="1">
        <v>2.52</v>
      </c>
      <c r="E31" s="5">
        <v>8424.8919999999998</v>
      </c>
      <c r="F31" s="1"/>
    </row>
    <row r="32" spans="1:6">
      <c r="A32" t="s">
        <v>30</v>
      </c>
      <c r="B32" s="1"/>
      <c r="C32" s="1">
        <v>10219.02</v>
      </c>
      <c r="D32" s="1">
        <v>0.72</v>
      </c>
      <c r="E32" s="5">
        <v>10218.299999999999</v>
      </c>
      <c r="F32" s="1"/>
    </row>
    <row r="33" spans="1:6">
      <c r="A33" t="s">
        <v>31</v>
      </c>
      <c r="B33" s="1"/>
      <c r="C33" s="1">
        <v>144792.89300000001</v>
      </c>
      <c r="D33" s="1">
        <v>3260.1579999999999</v>
      </c>
      <c r="E33" s="5">
        <v>141532.73499999999</v>
      </c>
      <c r="F33" s="1"/>
    </row>
    <row r="34" spans="1:6">
      <c r="A34" t="s">
        <v>32</v>
      </c>
      <c r="B34" s="1"/>
      <c r="C34" s="1">
        <v>203535.29300000001</v>
      </c>
      <c r="D34" s="1"/>
      <c r="E34" s="5">
        <v>202737.17600000001</v>
      </c>
      <c r="F34" s="1"/>
    </row>
    <row r="35" spans="1:6">
      <c r="A35" t="s">
        <v>33</v>
      </c>
      <c r="B35" s="1"/>
      <c r="C35" s="1">
        <v>7539.625</v>
      </c>
      <c r="D35" s="1">
        <v>67.477000000000004</v>
      </c>
      <c r="E35" s="5">
        <v>7472.1480000000001</v>
      </c>
      <c r="F35" s="1"/>
    </row>
    <row r="36" spans="1:6">
      <c r="A36" t="s">
        <v>34</v>
      </c>
      <c r="B36" s="1" t="s">
        <v>133</v>
      </c>
      <c r="C36" s="1"/>
      <c r="D36" s="1">
        <v>17806.677</v>
      </c>
      <c r="E36" s="5">
        <v>51.444000000000003</v>
      </c>
      <c r="F36" s="1">
        <v>17755.233</v>
      </c>
    </row>
    <row r="37" spans="1:6">
      <c r="A37" t="s">
        <v>35</v>
      </c>
      <c r="B37" s="1"/>
      <c r="C37" s="1">
        <v>12606.775</v>
      </c>
      <c r="D37" s="1">
        <v>2E-3</v>
      </c>
      <c r="E37" s="5">
        <v>12606.772999999999</v>
      </c>
      <c r="F37" s="1"/>
    </row>
    <row r="38" spans="1:6">
      <c r="A38" t="s">
        <v>36</v>
      </c>
      <c r="B38" s="1"/>
      <c r="C38" s="1">
        <v>176.4</v>
      </c>
      <c r="D38" s="1"/>
      <c r="E38" s="5">
        <v>176.4</v>
      </c>
      <c r="F38" s="1"/>
    </row>
    <row r="39" spans="1:6">
      <c r="A39" t="s">
        <v>37</v>
      </c>
      <c r="B39" s="1"/>
      <c r="C39" s="1">
        <v>2174.1329999999998</v>
      </c>
      <c r="D39" s="1"/>
      <c r="E39" s="5">
        <v>2174.1329999999998</v>
      </c>
      <c r="F39" s="1"/>
    </row>
    <row r="40" spans="1:6">
      <c r="A40" t="s">
        <v>38</v>
      </c>
      <c r="B40" s="1"/>
      <c r="C40" s="1">
        <v>9995.1730000000007</v>
      </c>
      <c r="D40" s="1"/>
      <c r="E40" s="5">
        <v>9995.1730000000007</v>
      </c>
      <c r="F40" s="1"/>
    </row>
    <row r="41" spans="1:6">
      <c r="A41" t="s">
        <v>39</v>
      </c>
      <c r="B41" s="1"/>
      <c r="C41" s="1">
        <v>2168.2020000000002</v>
      </c>
      <c r="D41" s="1">
        <v>6.0000000000000001E-3</v>
      </c>
      <c r="E41" s="5">
        <v>2168.1959999999999</v>
      </c>
      <c r="F41" s="1"/>
    </row>
    <row r="42" spans="1:6">
      <c r="B42" s="1"/>
      <c r="C42" s="1"/>
      <c r="D42" s="1"/>
      <c r="E42" s="5"/>
      <c r="F42" s="1"/>
    </row>
    <row r="43" spans="1:6">
      <c r="A43" t="s">
        <v>40</v>
      </c>
      <c r="B43" s="1"/>
      <c r="C43" s="1">
        <v>205.345</v>
      </c>
      <c r="D43" s="1">
        <v>9.7000000000000003E-2</v>
      </c>
      <c r="E43" s="5">
        <v>205.24799999999999</v>
      </c>
      <c r="F43" s="1"/>
    </row>
    <row r="44" spans="1:6">
      <c r="A44" t="s">
        <v>41</v>
      </c>
      <c r="B44" s="1"/>
      <c r="C44" s="1">
        <v>4986185.6509999996</v>
      </c>
      <c r="D44" s="1">
        <v>222788.42499999999</v>
      </c>
      <c r="E44" s="5">
        <v>4763397.2259999998</v>
      </c>
      <c r="F44" s="1"/>
    </row>
    <row r="45" spans="1:6">
      <c r="A45" t="s">
        <v>42</v>
      </c>
      <c r="B45" s="1"/>
      <c r="C45" s="1">
        <v>685465.48300000001</v>
      </c>
      <c r="D45" s="1">
        <v>7085.0320000000002</v>
      </c>
      <c r="E45" s="5">
        <v>678380.451</v>
      </c>
      <c r="F45" s="1"/>
    </row>
    <row r="46" spans="1:6">
      <c r="A46" t="s">
        <v>43</v>
      </c>
      <c r="B46" s="1"/>
      <c r="C46" s="1">
        <v>643460.23899999994</v>
      </c>
      <c r="D46" s="1">
        <v>11115.063</v>
      </c>
      <c r="E46" s="5">
        <v>632345.17599999998</v>
      </c>
      <c r="F46" s="1"/>
    </row>
    <row r="47" spans="1:6">
      <c r="A47" t="s">
        <v>44</v>
      </c>
      <c r="B47" s="1"/>
      <c r="C47" s="1">
        <v>144454.897</v>
      </c>
      <c r="D47" s="1">
        <v>3932.1640000000002</v>
      </c>
      <c r="E47" s="5">
        <v>140522.73300000001</v>
      </c>
      <c r="F47" s="1"/>
    </row>
    <row r="48" spans="1:6">
      <c r="B48" s="1"/>
      <c r="C48" s="1"/>
      <c r="D48" s="1"/>
      <c r="E48" s="5"/>
      <c r="F48" s="1"/>
    </row>
    <row r="49" spans="1:6">
      <c r="A49" t="s">
        <v>45</v>
      </c>
      <c r="B49" s="1"/>
      <c r="C49" s="1">
        <v>1043.146</v>
      </c>
      <c r="D49" s="1">
        <v>1633.6469999999999</v>
      </c>
      <c r="E49" s="5"/>
      <c r="F49" s="1">
        <v>590.50099999999998</v>
      </c>
    </row>
    <row r="50" spans="1:6">
      <c r="B50" s="1"/>
      <c r="C50" s="1"/>
      <c r="D50" s="1"/>
      <c r="E50" s="5"/>
      <c r="F50" s="1"/>
    </row>
    <row r="51" spans="1:6">
      <c r="A51" t="s">
        <v>46</v>
      </c>
      <c r="B51" s="1"/>
      <c r="C51" s="1">
        <v>11256883.181</v>
      </c>
      <c r="D51" s="1">
        <v>259113.14300000001</v>
      </c>
      <c r="E51" s="5">
        <v>10997770.038000001</v>
      </c>
      <c r="F51" s="1"/>
    </row>
    <row r="52" spans="1:6">
      <c r="B52" s="1"/>
      <c r="C52" s="1"/>
      <c r="D52" s="1"/>
      <c r="E52" s="5"/>
      <c r="F52" s="1"/>
    </row>
    <row r="53" spans="1:6">
      <c r="A53" t="s">
        <v>47</v>
      </c>
      <c r="B53" s="1"/>
      <c r="C53" s="1"/>
      <c r="D53" s="1"/>
      <c r="E53" s="5"/>
      <c r="F53" s="1"/>
    </row>
    <row r="54" spans="1:6">
      <c r="B54" s="1"/>
      <c r="C54" s="1"/>
      <c r="D54" s="1"/>
      <c r="E54" s="5"/>
      <c r="F54" s="1"/>
    </row>
    <row r="55" spans="1:6">
      <c r="A55" t="s">
        <v>48</v>
      </c>
      <c r="B55" s="1"/>
      <c r="C55" s="1">
        <v>143520.80300000001</v>
      </c>
      <c r="D55" s="1">
        <v>15659.003000000001</v>
      </c>
      <c r="E55" s="5">
        <v>127861.8</v>
      </c>
      <c r="F55" s="1"/>
    </row>
    <row r="56" spans="1:6">
      <c r="A56" t="s">
        <v>49</v>
      </c>
      <c r="B56" s="1"/>
      <c r="C56" s="1">
        <v>8150.6440000000002</v>
      </c>
      <c r="D56" s="1"/>
      <c r="E56" s="5">
        <v>8150.6440000000002</v>
      </c>
      <c r="F56" s="1"/>
    </row>
    <row r="57" spans="1:6">
      <c r="B57" s="1"/>
      <c r="C57" s="1"/>
      <c r="D57" s="1"/>
      <c r="E57" s="5"/>
      <c r="F57" s="1"/>
    </row>
    <row r="58" spans="1:6">
      <c r="A58" t="s">
        <v>50</v>
      </c>
      <c r="B58" s="1"/>
      <c r="C58" s="1">
        <v>91168.152000000002</v>
      </c>
      <c r="D58" s="1"/>
      <c r="E58" s="5">
        <v>91168.152000000002</v>
      </c>
      <c r="F58" s="1"/>
    </row>
    <row r="59" spans="1:6">
      <c r="B59" s="1"/>
      <c r="C59" s="1"/>
      <c r="D59" s="1"/>
      <c r="E59" s="5"/>
      <c r="F59" s="1"/>
    </row>
    <row r="60" spans="1:6">
      <c r="A60" t="s">
        <v>51</v>
      </c>
      <c r="B60" s="1"/>
      <c r="C60" s="1">
        <v>240</v>
      </c>
      <c r="D60" s="1"/>
      <c r="E60" s="5">
        <v>240</v>
      </c>
      <c r="F60" s="1"/>
    </row>
    <row r="61" spans="1:6">
      <c r="B61" s="1"/>
      <c r="C61" s="1"/>
      <c r="D61" s="1"/>
      <c r="E61" s="5"/>
      <c r="F61" s="1"/>
    </row>
    <row r="62" spans="1:6">
      <c r="A62" t="s">
        <v>52</v>
      </c>
      <c r="B62" s="1"/>
      <c r="C62" s="1">
        <v>243079.59899999999</v>
      </c>
      <c r="D62" s="1">
        <v>15659.003000000001</v>
      </c>
      <c r="E62" s="5">
        <v>227420.59599999999</v>
      </c>
      <c r="F62" s="1"/>
    </row>
    <row r="63" spans="1:6">
      <c r="B63" s="1"/>
      <c r="C63" s="1"/>
      <c r="D63" s="1"/>
      <c r="E63" s="5"/>
      <c r="F63" s="1"/>
    </row>
    <row r="64" spans="1:6">
      <c r="A64" t="s">
        <v>53</v>
      </c>
      <c r="B64" s="1"/>
      <c r="C64" s="1"/>
      <c r="D64" s="1"/>
      <c r="E64" s="5"/>
      <c r="F64" s="1"/>
    </row>
    <row r="65" spans="1:6">
      <c r="B65" s="1"/>
      <c r="C65" s="1"/>
      <c r="D65" s="1"/>
      <c r="E65" s="5"/>
      <c r="F65" s="1"/>
    </row>
    <row r="66" spans="1:6">
      <c r="A66" t="s">
        <v>54</v>
      </c>
      <c r="B66" s="1"/>
      <c r="C66" s="1">
        <v>30.251999999999999</v>
      </c>
      <c r="D66" s="1"/>
      <c r="E66" s="5">
        <v>30.251999999999999</v>
      </c>
      <c r="F66" s="1"/>
    </row>
    <row r="67" spans="1:6">
      <c r="B67" s="1"/>
      <c r="C67" s="1"/>
      <c r="D67" s="1"/>
      <c r="E67" s="5"/>
      <c r="F67" s="1"/>
    </row>
    <row r="68" spans="1:6">
      <c r="A68" t="s">
        <v>55</v>
      </c>
      <c r="B68" s="1"/>
      <c r="C68" s="1">
        <v>1141799.8940000001</v>
      </c>
      <c r="D68" s="1">
        <v>46454.699000000001</v>
      </c>
      <c r="E68" s="5">
        <v>1095345.1950000001</v>
      </c>
      <c r="F68" s="1"/>
    </row>
    <row r="69" spans="1:6">
      <c r="A69" t="s">
        <v>56</v>
      </c>
      <c r="B69" s="1"/>
      <c r="C69" s="1">
        <v>180508.79199999999</v>
      </c>
      <c r="D69" s="1">
        <v>750</v>
      </c>
      <c r="E69" s="5">
        <v>179758.79199999999</v>
      </c>
      <c r="F69" s="1"/>
    </row>
    <row r="70" spans="1:6">
      <c r="B70" s="1"/>
      <c r="C70" s="1"/>
      <c r="D70" s="1"/>
      <c r="E70" s="5"/>
      <c r="F70" s="1"/>
    </row>
    <row r="71" spans="1:6">
      <c r="A71" t="s">
        <v>57</v>
      </c>
      <c r="B71" s="1"/>
      <c r="C71" s="1">
        <v>33806.631999999998</v>
      </c>
      <c r="D71" s="1"/>
      <c r="E71" s="5">
        <v>33806.631999999998</v>
      </c>
      <c r="F71" s="1"/>
    </row>
    <row r="72" spans="1:6">
      <c r="B72" s="1"/>
      <c r="C72" s="1"/>
      <c r="D72" s="1"/>
      <c r="E72" s="5"/>
      <c r="F72" s="1"/>
    </row>
    <row r="73" spans="1:6">
      <c r="A73" t="s">
        <v>58</v>
      </c>
      <c r="B73" s="1"/>
      <c r="C73" s="1">
        <v>2540</v>
      </c>
      <c r="D73" s="1"/>
      <c r="E73" s="5">
        <v>2540</v>
      </c>
      <c r="F73" s="1"/>
    </row>
    <row r="74" spans="1:6">
      <c r="A74" t="s">
        <v>59</v>
      </c>
      <c r="B74" s="1"/>
      <c r="C74" s="1">
        <v>6768</v>
      </c>
      <c r="D74" s="1"/>
      <c r="E74" s="5">
        <v>6768</v>
      </c>
      <c r="F74" s="1"/>
    </row>
    <row r="75" spans="1:6">
      <c r="B75" s="1"/>
      <c r="C75" s="1"/>
      <c r="D75" s="1"/>
      <c r="E75" s="5"/>
      <c r="F75" s="1"/>
    </row>
    <row r="76" spans="1:6">
      <c r="A76" t="s">
        <v>60</v>
      </c>
      <c r="B76" s="1"/>
      <c r="C76" s="1">
        <v>72470.523000000001</v>
      </c>
      <c r="D76" s="1"/>
      <c r="E76" s="5">
        <v>72470.523000000001</v>
      </c>
      <c r="F76" s="1"/>
    </row>
    <row r="77" spans="1:6">
      <c r="B77" s="1"/>
      <c r="C77" s="1"/>
      <c r="D77" s="1"/>
      <c r="E77" s="5"/>
      <c r="F77" s="1"/>
    </row>
    <row r="78" spans="1:6">
      <c r="A78" t="s">
        <v>61</v>
      </c>
      <c r="B78" s="1"/>
      <c r="C78" s="1">
        <v>65261.932999999997</v>
      </c>
      <c r="D78" s="1">
        <v>19341.59</v>
      </c>
      <c r="E78" s="5">
        <v>45920.343000000001</v>
      </c>
      <c r="F78" s="1"/>
    </row>
    <row r="79" spans="1:6">
      <c r="B79" s="1"/>
      <c r="C79" s="1"/>
      <c r="D79" s="1"/>
      <c r="E79" s="5"/>
      <c r="F79" s="1"/>
    </row>
    <row r="80" spans="1:6">
      <c r="A80" t="s">
        <v>62</v>
      </c>
      <c r="B80" s="1"/>
      <c r="C80" s="1">
        <v>1878578.9509999999</v>
      </c>
      <c r="D80" s="1">
        <v>251527.851</v>
      </c>
      <c r="E80" s="5">
        <v>1627051.1</v>
      </c>
      <c r="F80" s="1"/>
    </row>
    <row r="81" spans="1:6">
      <c r="B81" s="1"/>
      <c r="C81" s="1"/>
      <c r="D81" s="1"/>
      <c r="E81" s="5"/>
      <c r="F81" s="1"/>
    </row>
    <row r="82" spans="1:6">
      <c r="A82" t="s">
        <v>63</v>
      </c>
      <c r="B82" s="1"/>
      <c r="C82" s="1">
        <v>3381764.977</v>
      </c>
      <c r="D82" s="1">
        <v>318074.14</v>
      </c>
      <c r="E82" s="5">
        <v>3063690.8369999998</v>
      </c>
      <c r="F82" s="1"/>
    </row>
    <row r="83" spans="1:6">
      <c r="B83" s="1"/>
      <c r="C83" s="1"/>
      <c r="D83" s="1"/>
      <c r="E83" s="5"/>
      <c r="F83" s="1"/>
    </row>
    <row r="84" spans="1:6">
      <c r="A84" t="s">
        <v>64</v>
      </c>
      <c r="B84" s="1"/>
      <c r="C84" s="1"/>
      <c r="D84" s="1"/>
      <c r="E84" s="5"/>
      <c r="F84" s="1"/>
    </row>
    <row r="85" spans="1:6">
      <c r="B85" s="1"/>
      <c r="C85" s="1"/>
      <c r="D85" s="1"/>
      <c r="E85" s="5"/>
      <c r="F85" s="1"/>
    </row>
    <row r="86" spans="1:6">
      <c r="A86" t="s">
        <v>65</v>
      </c>
      <c r="B86" s="1"/>
      <c r="C86" s="1">
        <v>61236.966</v>
      </c>
      <c r="D86" s="1">
        <v>14081.56</v>
      </c>
      <c r="E86" s="5">
        <v>47155.406000000003</v>
      </c>
      <c r="F86" s="1"/>
    </row>
    <row r="87" spans="1:6">
      <c r="B87" s="1"/>
      <c r="C87" s="1"/>
      <c r="D87" s="1"/>
      <c r="E87" s="5"/>
      <c r="F87" s="1"/>
    </row>
    <row r="88" spans="1:6">
      <c r="A88" t="s">
        <v>66</v>
      </c>
      <c r="B88" s="1"/>
      <c r="C88" s="1">
        <v>5478.5379999999996</v>
      </c>
      <c r="D88" s="1">
        <v>232.65</v>
      </c>
      <c r="E88" s="5">
        <v>5245.8879999999999</v>
      </c>
      <c r="F88" s="1"/>
    </row>
    <row r="89" spans="1:6">
      <c r="B89" s="1"/>
      <c r="C89" s="1"/>
      <c r="D89" s="1"/>
      <c r="E89" s="5"/>
      <c r="F89" s="1"/>
    </row>
    <row r="90" spans="1:6">
      <c r="A90" t="s">
        <v>67</v>
      </c>
      <c r="B90" s="1"/>
      <c r="C90" s="1">
        <v>66715.504000000001</v>
      </c>
      <c r="D90" s="1">
        <v>14314.21</v>
      </c>
      <c r="E90" s="5">
        <v>52401.294000000002</v>
      </c>
      <c r="F90" s="1"/>
    </row>
    <row r="91" spans="1:6">
      <c r="B91" s="1"/>
      <c r="C91" s="1"/>
      <c r="D91" s="1"/>
      <c r="E91" s="5"/>
      <c r="F91" s="1"/>
    </row>
    <row r="92" spans="1:6">
      <c r="A92" t="s">
        <v>68</v>
      </c>
      <c r="B92" s="1"/>
      <c r="C92" s="1"/>
      <c r="D92" s="1"/>
      <c r="E92" s="5"/>
      <c r="F92" s="1"/>
    </row>
    <row r="93" spans="1:6">
      <c r="B93" s="1"/>
      <c r="C93" s="1"/>
      <c r="D93" s="1"/>
      <c r="E93" s="5"/>
      <c r="F93" s="1"/>
    </row>
    <row r="94" spans="1:6">
      <c r="A94" t="s">
        <v>69</v>
      </c>
      <c r="B94" s="1"/>
      <c r="C94" s="1">
        <v>3588521.4920000001</v>
      </c>
      <c r="D94" s="1"/>
      <c r="E94" s="5">
        <v>3588521.4920000001</v>
      </c>
      <c r="F94" s="1"/>
    </row>
    <row r="95" spans="1:6">
      <c r="B95" s="1"/>
      <c r="C95" s="1"/>
      <c r="D95" s="1"/>
      <c r="E95" s="5"/>
      <c r="F95" s="1"/>
    </row>
    <row r="96" spans="1:6">
      <c r="A96" t="s">
        <v>70</v>
      </c>
      <c r="B96" s="1"/>
      <c r="C96" s="1">
        <v>13998.587</v>
      </c>
      <c r="D96" s="1"/>
      <c r="E96" s="5">
        <v>13998.587</v>
      </c>
      <c r="F96" s="1"/>
    </row>
    <row r="97" spans="1:6">
      <c r="B97" s="1"/>
      <c r="C97" s="1"/>
      <c r="D97" s="1"/>
      <c r="E97" s="5"/>
      <c r="F97" s="1"/>
    </row>
    <row r="98" spans="1:6">
      <c r="A98" t="s">
        <v>71</v>
      </c>
      <c r="B98" s="1"/>
      <c r="C98" s="1">
        <v>3602520.0789999999</v>
      </c>
      <c r="D98" s="1"/>
      <c r="E98" s="5">
        <v>3602520.0789999999</v>
      </c>
      <c r="F98" s="1"/>
    </row>
    <row r="99" spans="1:6">
      <c r="B99" s="1"/>
      <c r="C99" s="1"/>
      <c r="D99" s="1"/>
      <c r="E99" s="5"/>
      <c r="F99" s="1"/>
    </row>
    <row r="100" spans="1:6">
      <c r="A100" t="s">
        <v>72</v>
      </c>
      <c r="B100" s="1"/>
      <c r="C100" s="1"/>
      <c r="D100" s="1"/>
      <c r="E100" s="5"/>
      <c r="F100" s="1"/>
    </row>
    <row r="101" spans="1:6">
      <c r="B101" s="1"/>
      <c r="C101" s="1"/>
      <c r="D101" s="1"/>
      <c r="E101" s="5"/>
      <c r="F101" s="1"/>
    </row>
    <row r="102" spans="1:6">
      <c r="A102" t="s">
        <v>73</v>
      </c>
      <c r="B102" s="1"/>
      <c r="C102" s="1">
        <v>4026038.9619999998</v>
      </c>
      <c r="D102" s="1">
        <v>3098024.085</v>
      </c>
      <c r="E102" s="5">
        <v>928014.87699999998</v>
      </c>
      <c r="F102" s="1"/>
    </row>
    <row r="103" spans="1:6">
      <c r="B103" s="1"/>
      <c r="C103" s="1"/>
      <c r="D103" s="1"/>
      <c r="E103" s="5"/>
      <c r="F103" s="1"/>
    </row>
    <row r="104" spans="1:6">
      <c r="A104" t="s">
        <v>74</v>
      </c>
      <c r="B104" s="1"/>
      <c r="C104" s="1">
        <v>12771178.117000001</v>
      </c>
      <c r="D104" s="1">
        <v>2976568.2620000001</v>
      </c>
      <c r="E104" s="5">
        <v>9794609.8550000004</v>
      </c>
      <c r="F104" s="1"/>
    </row>
    <row r="105" spans="1:6">
      <c r="A105" t="s">
        <v>75</v>
      </c>
      <c r="B105" s="1"/>
      <c r="C105" s="1"/>
      <c r="D105" s="1"/>
      <c r="E105" s="5"/>
      <c r="F105" s="1"/>
    </row>
    <row r="106" spans="1:6">
      <c r="A106" t="s">
        <v>76</v>
      </c>
      <c r="B106" s="1"/>
      <c r="C106" s="1">
        <v>256073.91699999999</v>
      </c>
      <c r="D106" s="1"/>
      <c r="E106" s="5">
        <v>256073.91699999999</v>
      </c>
      <c r="F106" s="1"/>
    </row>
    <row r="107" spans="1:6">
      <c r="B107" s="1"/>
      <c r="C107" s="1"/>
      <c r="D107" s="1"/>
      <c r="E107" s="5"/>
      <c r="F107" s="1"/>
    </row>
    <row r="108" spans="1:6">
      <c r="A108" t="s">
        <v>77</v>
      </c>
      <c r="B108" s="1"/>
      <c r="C108" s="1">
        <v>3289.79</v>
      </c>
      <c r="D108" s="1"/>
      <c r="E108" s="5">
        <v>3289.79</v>
      </c>
      <c r="F108" s="1"/>
    </row>
    <row r="109" spans="1:6">
      <c r="B109" s="1"/>
      <c r="C109" s="1"/>
      <c r="D109" s="1"/>
      <c r="E109" s="5"/>
      <c r="F109" s="1"/>
    </row>
    <row r="110" spans="1:6">
      <c r="A110" t="s">
        <v>78</v>
      </c>
      <c r="B110" s="1"/>
      <c r="C110" s="1">
        <v>17056580.785999998</v>
      </c>
      <c r="D110" s="1">
        <v>6074592.3470000001</v>
      </c>
      <c r="E110" s="5">
        <v>10981988.438999999</v>
      </c>
      <c r="F110" s="1"/>
    </row>
    <row r="111" spans="1:6">
      <c r="B111" s="1"/>
      <c r="C111" s="1"/>
      <c r="D111" s="1"/>
      <c r="E111" s="5"/>
      <c r="F111" s="1"/>
    </row>
    <row r="112" spans="1:6">
      <c r="A112" t="s">
        <v>79</v>
      </c>
      <c r="B112" s="1"/>
      <c r="C112" s="1"/>
      <c r="D112" s="1"/>
      <c r="E112" s="5"/>
      <c r="F112" s="1"/>
    </row>
    <row r="113" spans="1:6">
      <c r="B113" s="1"/>
      <c r="C113" s="1"/>
      <c r="D113" s="1"/>
      <c r="E113" s="5"/>
      <c r="F113" s="1"/>
    </row>
    <row r="114" spans="1:6">
      <c r="A114" t="s">
        <v>80</v>
      </c>
      <c r="B114" s="1"/>
      <c r="C114" s="1">
        <v>61098.618999999999</v>
      </c>
      <c r="D114" s="1"/>
      <c r="E114" s="5">
        <v>61098.618999999999</v>
      </c>
      <c r="F114" s="1"/>
    </row>
    <row r="115" spans="1:6">
      <c r="A115" t="s">
        <v>81</v>
      </c>
      <c r="B115" s="1"/>
      <c r="C115" s="1">
        <v>30549.29</v>
      </c>
      <c r="D115" s="1"/>
      <c r="E115" s="5">
        <v>30549.29</v>
      </c>
      <c r="F115" s="1"/>
    </row>
    <row r="116" spans="1:6">
      <c r="A116" t="s">
        <v>82</v>
      </c>
      <c r="B116" s="1"/>
      <c r="C116" s="1">
        <v>230705.231</v>
      </c>
      <c r="D116" s="1">
        <v>230705.231</v>
      </c>
      <c r="E116" s="5"/>
      <c r="F116" s="1"/>
    </row>
    <row r="117" spans="1:6">
      <c r="B117" s="1"/>
      <c r="C117" s="1"/>
      <c r="D117" s="1"/>
      <c r="E117" s="5"/>
      <c r="F117" s="1"/>
    </row>
    <row r="118" spans="1:6">
      <c r="A118" t="s">
        <v>83</v>
      </c>
      <c r="B118" s="1"/>
      <c r="C118" s="1">
        <v>4095</v>
      </c>
      <c r="D118" s="1"/>
      <c r="E118" s="5">
        <v>4095</v>
      </c>
      <c r="F118" s="1"/>
    </row>
    <row r="119" spans="1:6">
      <c r="B119" s="1"/>
      <c r="C119" s="1"/>
      <c r="D119" s="1"/>
      <c r="E119" s="5"/>
      <c r="F119" s="1"/>
    </row>
    <row r="120" spans="1:6">
      <c r="A120" t="s">
        <v>84</v>
      </c>
      <c r="B120" s="1"/>
      <c r="C120" s="1">
        <v>23538.516</v>
      </c>
      <c r="D120" s="1">
        <v>1405.9829999999999</v>
      </c>
      <c r="E120" s="5">
        <v>22132.532999999999</v>
      </c>
      <c r="F120" s="1"/>
    </row>
    <row r="121" spans="1:6">
      <c r="A121" t="s">
        <v>85</v>
      </c>
      <c r="B121" s="1"/>
      <c r="C121" s="1">
        <v>508383.22</v>
      </c>
      <c r="D121" s="1"/>
      <c r="E121" s="5">
        <v>508383.22</v>
      </c>
      <c r="F121" s="1"/>
    </row>
    <row r="122" spans="1:6">
      <c r="A122" t="s">
        <v>86</v>
      </c>
      <c r="B122" s="1"/>
      <c r="C122" s="1">
        <v>1616.797</v>
      </c>
      <c r="D122" s="1">
        <v>26.6</v>
      </c>
      <c r="E122" s="5">
        <v>1590.1969999999999</v>
      </c>
      <c r="F122" s="1"/>
    </row>
    <row r="123" spans="1:6">
      <c r="B123" s="1"/>
      <c r="C123" s="1"/>
      <c r="D123" s="1"/>
      <c r="E123" s="5"/>
      <c r="F123" s="1"/>
    </row>
    <row r="124" spans="1:6">
      <c r="A124" t="s">
        <v>87</v>
      </c>
      <c r="B124" s="1"/>
      <c r="C124" s="1">
        <v>859986.67299999995</v>
      </c>
      <c r="D124" s="1">
        <v>232137.81400000001</v>
      </c>
      <c r="E124" s="5">
        <v>627848.85900000005</v>
      </c>
      <c r="F124" s="1"/>
    </row>
    <row r="125" spans="1:6">
      <c r="B125" s="1"/>
      <c r="C125" s="1"/>
      <c r="D125" s="1"/>
      <c r="E125" s="5"/>
      <c r="F125" s="1"/>
    </row>
    <row r="126" spans="1:6">
      <c r="A126" t="s">
        <v>88</v>
      </c>
      <c r="B126" s="1"/>
      <c r="C126" s="1"/>
      <c r="D126" s="1"/>
      <c r="E126" s="5"/>
      <c r="F126" s="1"/>
    </row>
    <row r="127" spans="1:6">
      <c r="B127" s="1"/>
      <c r="C127" s="1"/>
      <c r="D127" s="1"/>
      <c r="E127" s="5"/>
      <c r="F127" s="1"/>
    </row>
    <row r="128" spans="1:6">
      <c r="A128" t="s">
        <v>89</v>
      </c>
      <c r="B128" s="1"/>
      <c r="C128" s="1">
        <v>3862911.9559999998</v>
      </c>
      <c r="D128" s="1"/>
      <c r="E128" s="5">
        <v>3862911.9559999998</v>
      </c>
      <c r="F128" s="1"/>
    </row>
    <row r="129" spans="1:6">
      <c r="B129" s="1"/>
      <c r="C129" s="1"/>
      <c r="D129" s="1"/>
      <c r="E129" s="5"/>
      <c r="F129" s="1"/>
    </row>
    <row r="130" spans="1:6">
      <c r="A130" t="s">
        <v>90</v>
      </c>
      <c r="B130" s="1"/>
      <c r="C130" s="1">
        <v>3862911.9559999998</v>
      </c>
      <c r="D130" s="1"/>
      <c r="E130" s="5">
        <v>3862911.9559999998</v>
      </c>
      <c r="F130" s="1"/>
    </row>
    <row r="131" spans="1:6">
      <c r="B131" s="1"/>
      <c r="C131" s="1"/>
      <c r="D131" s="1"/>
      <c r="E131" s="5"/>
      <c r="F131" s="1"/>
    </row>
    <row r="132" spans="1:6">
      <c r="A132" t="s">
        <v>91</v>
      </c>
      <c r="B132" s="1"/>
      <c r="C132" s="1"/>
      <c r="D132" s="1"/>
      <c r="E132" s="5"/>
      <c r="F132" s="1"/>
    </row>
    <row r="133" spans="1:6">
      <c r="B133" s="1"/>
      <c r="C133" s="1"/>
      <c r="D133" s="1"/>
      <c r="E133" s="5"/>
      <c r="F133" s="1"/>
    </row>
    <row r="134" spans="1:6">
      <c r="A134" t="s">
        <v>92</v>
      </c>
      <c r="B134" s="1"/>
      <c r="C134" s="1">
        <v>125164.82399999999</v>
      </c>
      <c r="D134" s="1"/>
      <c r="E134" s="5">
        <v>125164.82399999999</v>
      </c>
      <c r="F134" s="1"/>
    </row>
    <row r="135" spans="1:6">
      <c r="B135" s="1"/>
      <c r="C135" s="1"/>
      <c r="D135" s="1"/>
      <c r="E135" s="5"/>
      <c r="F135" s="1"/>
    </row>
    <row r="136" spans="1:6">
      <c r="A136" t="s">
        <v>93</v>
      </c>
      <c r="B136" s="1"/>
      <c r="C136" s="1">
        <v>125164.82399999999</v>
      </c>
      <c r="D136" s="1"/>
      <c r="E136" s="5">
        <v>125164.82399999999</v>
      </c>
      <c r="F136" s="1"/>
    </row>
    <row r="137" spans="1:6">
      <c r="B137" s="1"/>
      <c r="C137" s="1"/>
      <c r="D137" s="1"/>
      <c r="E137" s="5"/>
      <c r="F137" s="1"/>
    </row>
    <row r="138" spans="1:6">
      <c r="A138" t="s">
        <v>94</v>
      </c>
      <c r="B138" s="1"/>
      <c r="C138" s="1">
        <v>40455607.579000004</v>
      </c>
      <c r="D138" s="1">
        <v>6913890.6569999997</v>
      </c>
      <c r="E138" s="5">
        <v>33541716.921999998</v>
      </c>
      <c r="F138" s="1"/>
    </row>
    <row r="139" spans="1:6">
      <c r="B139" s="1"/>
      <c r="C139" s="1"/>
      <c r="D139" s="1"/>
      <c r="E139" s="5"/>
      <c r="F139" s="1"/>
    </row>
    <row r="140" spans="1:6">
      <c r="A140" t="s">
        <v>95</v>
      </c>
      <c r="B140" s="1"/>
      <c r="C140" s="1"/>
      <c r="D140" s="1"/>
      <c r="E140" s="5"/>
      <c r="F140" s="1"/>
    </row>
    <row r="141" spans="1:6">
      <c r="B141" s="1"/>
      <c r="C141" s="1"/>
      <c r="D141" s="1"/>
      <c r="E141" s="5"/>
      <c r="F141" s="1"/>
    </row>
    <row r="142" spans="1:6">
      <c r="A142" t="s">
        <v>96</v>
      </c>
      <c r="B142" s="1"/>
      <c r="C142" s="1"/>
      <c r="D142" s="1"/>
      <c r="E142" s="5"/>
      <c r="F142" s="1"/>
    </row>
    <row r="143" spans="1:6">
      <c r="B143" s="1"/>
      <c r="C143" s="1"/>
      <c r="D143" s="1"/>
      <c r="E143" s="5"/>
      <c r="F143" s="1"/>
    </row>
    <row r="144" spans="1:6">
      <c r="A144" t="s">
        <v>97</v>
      </c>
      <c r="B144" s="1"/>
      <c r="C144" s="1"/>
      <c r="D144" s="1">
        <v>216787.28400000001</v>
      </c>
      <c r="E144" s="5"/>
      <c r="F144" s="1">
        <v>216787.28400000001</v>
      </c>
    </row>
    <row r="145" spans="1:6">
      <c r="A145" t="s">
        <v>98</v>
      </c>
      <c r="B145" s="1"/>
      <c r="C145" s="1"/>
      <c r="D145" s="1">
        <v>22494854.311000001</v>
      </c>
      <c r="E145" s="5"/>
      <c r="F145" s="1">
        <v>22494854.311000001</v>
      </c>
    </row>
    <row r="146" spans="1:6">
      <c r="A146" t="s">
        <v>99</v>
      </c>
      <c r="B146" s="1"/>
      <c r="C146" s="1"/>
      <c r="D146" s="1">
        <v>585620.60800000001</v>
      </c>
      <c r="E146" s="5"/>
      <c r="F146" s="1">
        <v>585620.60800000001</v>
      </c>
    </row>
    <row r="147" spans="1:6">
      <c r="A147" t="s">
        <v>100</v>
      </c>
      <c r="B147" s="1"/>
      <c r="C147" s="1"/>
      <c r="D147" s="1">
        <v>47.192</v>
      </c>
      <c r="E147" s="5"/>
      <c r="F147" s="1">
        <v>47.192</v>
      </c>
    </row>
    <row r="148" spans="1:6">
      <c r="A148" t="s">
        <v>101</v>
      </c>
      <c r="B148" s="1"/>
      <c r="C148" s="1"/>
      <c r="D148" s="1">
        <v>9127.6059999999998</v>
      </c>
      <c r="E148" s="5"/>
      <c r="F148" s="1">
        <v>9127.6059999999998</v>
      </c>
    </row>
    <row r="149" spans="1:6">
      <c r="A149" t="s">
        <v>102</v>
      </c>
      <c r="B149" s="1"/>
      <c r="C149" s="1"/>
      <c r="D149" s="1">
        <v>1788.654</v>
      </c>
      <c r="E149" s="5"/>
      <c r="F149" s="1">
        <v>1788.654</v>
      </c>
    </row>
    <row r="150" spans="1:6">
      <c r="A150" t="s">
        <v>103</v>
      </c>
      <c r="B150" s="1"/>
      <c r="C150" s="1">
        <v>340.47399999999999</v>
      </c>
      <c r="D150" s="1">
        <v>124941.656</v>
      </c>
      <c r="E150" s="5"/>
      <c r="F150" s="1">
        <v>124601.182</v>
      </c>
    </row>
    <row r="151" spans="1:6">
      <c r="A151" t="s">
        <v>104</v>
      </c>
      <c r="B151" s="1"/>
      <c r="C151" s="1">
        <v>156.05600000000001</v>
      </c>
      <c r="D151" s="1">
        <v>35551.879000000001</v>
      </c>
      <c r="E151" s="5"/>
      <c r="F151" s="1">
        <v>35395.822999999997</v>
      </c>
    </row>
    <row r="152" spans="1:6">
      <c r="A152" t="s">
        <v>105</v>
      </c>
      <c r="B152" s="1"/>
      <c r="C152" s="1">
        <v>70484.501999999993</v>
      </c>
      <c r="D152" s="1"/>
      <c r="E152" s="5">
        <v>70484.501999999993</v>
      </c>
      <c r="F152" s="1"/>
    </row>
    <row r="153" spans="1:6">
      <c r="B153" s="1"/>
      <c r="C153" s="1"/>
      <c r="D153" s="1"/>
      <c r="E153" s="5"/>
      <c r="F153" s="1"/>
    </row>
    <row r="154" spans="1:6">
      <c r="A154" t="s">
        <v>106</v>
      </c>
      <c r="B154" s="1"/>
      <c r="C154" s="1">
        <v>2.1999999999999999E-2</v>
      </c>
      <c r="D154" s="1">
        <v>2.1999999999999999E-2</v>
      </c>
      <c r="E154" s="5"/>
      <c r="F154" s="1"/>
    </row>
    <row r="155" spans="1:6">
      <c r="B155" s="1"/>
      <c r="C155" s="1"/>
      <c r="D155" s="1"/>
      <c r="E155" s="5"/>
      <c r="F155" s="1"/>
    </row>
    <row r="156" spans="1:6">
      <c r="A156" t="s">
        <v>107</v>
      </c>
      <c r="B156" s="1"/>
      <c r="C156" s="1">
        <v>70981.054000000004</v>
      </c>
      <c r="D156" s="1">
        <v>23468719.212000001</v>
      </c>
      <c r="E156" s="5"/>
      <c r="F156" s="1">
        <v>23397738.158</v>
      </c>
    </row>
    <row r="157" spans="1:6">
      <c r="B157" s="1"/>
      <c r="C157" s="1"/>
      <c r="D157" s="1"/>
      <c r="E157" s="5"/>
      <c r="F157" s="1"/>
    </row>
    <row r="158" spans="1:6">
      <c r="A158" t="s">
        <v>108</v>
      </c>
      <c r="B158" s="1"/>
      <c r="C158" s="1"/>
      <c r="D158" s="1"/>
      <c r="E158" s="5"/>
      <c r="F158" s="1"/>
    </row>
    <row r="159" spans="1:6">
      <c r="B159" s="1"/>
      <c r="C159" s="1"/>
      <c r="D159" s="1"/>
      <c r="E159" s="5"/>
      <c r="F159" s="1"/>
    </row>
    <row r="160" spans="1:6">
      <c r="A160" t="s">
        <v>109</v>
      </c>
      <c r="B160" s="1"/>
      <c r="C160" s="1">
        <v>280</v>
      </c>
      <c r="D160" s="1">
        <v>280</v>
      </c>
      <c r="E160" s="5"/>
      <c r="F160" s="1"/>
    </row>
    <row r="161" spans="1:6">
      <c r="A161" t="s">
        <v>110</v>
      </c>
      <c r="B161" s="1"/>
      <c r="C161" s="1"/>
      <c r="D161" s="1">
        <v>43086.099000000002</v>
      </c>
      <c r="E161" s="5"/>
      <c r="F161" s="1">
        <v>43086.099000000002</v>
      </c>
    </row>
    <row r="162" spans="1:6">
      <c r="A162" t="s">
        <v>111</v>
      </c>
      <c r="B162" s="1"/>
      <c r="C162" s="1">
        <v>2522.1350000000002</v>
      </c>
      <c r="D162" s="1">
        <v>75926.281000000003</v>
      </c>
      <c r="E162" s="5"/>
      <c r="F162" s="1">
        <v>73404.145999999993</v>
      </c>
    </row>
    <row r="163" spans="1:6">
      <c r="B163" s="1"/>
      <c r="C163" s="1"/>
      <c r="D163" s="1"/>
      <c r="E163" s="5"/>
      <c r="F163" s="1"/>
    </row>
    <row r="164" spans="1:6">
      <c r="A164" t="s">
        <v>112</v>
      </c>
      <c r="B164" s="1"/>
      <c r="C164" s="1"/>
      <c r="D164" s="1">
        <v>1000000</v>
      </c>
      <c r="E164" s="5"/>
      <c r="F164" s="1">
        <v>1000000</v>
      </c>
    </row>
    <row r="165" spans="1:6">
      <c r="B165" s="1"/>
      <c r="C165" s="1"/>
      <c r="D165" s="1"/>
      <c r="E165" s="5"/>
      <c r="F165" s="1"/>
    </row>
    <row r="166" spans="1:6">
      <c r="A166" t="s">
        <v>113</v>
      </c>
      <c r="B166" s="1"/>
      <c r="C166" s="1">
        <v>2802.1350000000002</v>
      </c>
      <c r="D166" s="1">
        <v>1119292.3799999999</v>
      </c>
      <c r="E166" s="5"/>
      <c r="F166" s="1">
        <v>1116490.2450000001</v>
      </c>
    </row>
    <row r="167" spans="1:6">
      <c r="B167" s="1"/>
      <c r="C167" s="1"/>
      <c r="D167" s="1"/>
      <c r="E167" s="5"/>
      <c r="F167" s="1"/>
    </row>
    <row r="168" spans="1:6">
      <c r="A168" t="s">
        <v>114</v>
      </c>
      <c r="B168" s="1"/>
      <c r="C168" s="1"/>
      <c r="D168" s="1"/>
      <c r="E168" s="5"/>
      <c r="F168" s="1"/>
    </row>
    <row r="169" spans="1:6">
      <c r="B169" s="1"/>
      <c r="C169" s="1"/>
      <c r="D169" s="1"/>
      <c r="E169" s="5"/>
      <c r="F169" s="1"/>
    </row>
    <row r="170" spans="1:6">
      <c r="A170" t="s">
        <v>115</v>
      </c>
      <c r="B170" s="1"/>
      <c r="C170" s="1"/>
      <c r="D170" s="1">
        <v>5678.6220000000003</v>
      </c>
      <c r="E170" s="5"/>
      <c r="F170" s="1">
        <v>5678.6220000000003</v>
      </c>
    </row>
    <row r="171" spans="1:6">
      <c r="A171" t="s">
        <v>116</v>
      </c>
      <c r="B171" s="1"/>
      <c r="C171" s="1"/>
      <c r="D171" s="1">
        <v>842507.53700000001</v>
      </c>
      <c r="E171" s="5"/>
      <c r="F171" s="1">
        <v>842507.53700000001</v>
      </c>
    </row>
    <row r="172" spans="1:6">
      <c r="A172" t="s">
        <v>117</v>
      </c>
      <c r="B172" s="1"/>
      <c r="C172" s="1">
        <v>1862.491</v>
      </c>
      <c r="D172" s="1">
        <v>382704.853</v>
      </c>
      <c r="E172" s="5"/>
      <c r="F172" s="1">
        <v>380842.36200000002</v>
      </c>
    </row>
    <row r="173" spans="1:6">
      <c r="B173" s="1"/>
      <c r="C173" s="1"/>
      <c r="D173" s="1"/>
      <c r="E173" s="5"/>
      <c r="F173" s="1"/>
    </row>
    <row r="174" spans="1:6">
      <c r="A174" t="s">
        <v>118</v>
      </c>
      <c r="B174" s="1"/>
      <c r="C174" s="1">
        <v>1862.491</v>
      </c>
      <c r="D174" s="1">
        <v>1230891.0120000001</v>
      </c>
      <c r="E174" s="5"/>
      <c r="F174" s="1">
        <v>1229028.5209999999</v>
      </c>
    </row>
    <row r="175" spans="1:6">
      <c r="B175" s="1"/>
      <c r="C175" s="1"/>
      <c r="D175" s="1"/>
      <c r="E175" s="5"/>
      <c r="F175" s="1"/>
    </row>
    <row r="176" spans="1:6">
      <c r="A176" t="s">
        <v>119</v>
      </c>
      <c r="B176" s="1"/>
      <c r="C176" s="1"/>
      <c r="D176" s="1"/>
      <c r="E176" s="5"/>
      <c r="F176" s="1"/>
    </row>
    <row r="177" spans="1:6">
      <c r="B177" s="1"/>
      <c r="C177" s="1"/>
      <c r="D177" s="1"/>
      <c r="E177" s="5"/>
      <c r="F177" s="1"/>
    </row>
    <row r="178" spans="1:6">
      <c r="A178" t="s">
        <v>120</v>
      </c>
      <c r="B178" s="1"/>
      <c r="C178" s="1">
        <v>20</v>
      </c>
      <c r="D178" s="1">
        <v>20</v>
      </c>
      <c r="E178" s="5"/>
      <c r="F178" s="1"/>
    </row>
    <row r="179" spans="1:6">
      <c r="B179" s="1"/>
      <c r="C179" s="1"/>
      <c r="D179" s="1"/>
      <c r="E179" s="5"/>
      <c r="F179" s="1"/>
    </row>
    <row r="180" spans="1:6">
      <c r="A180" t="s">
        <v>121</v>
      </c>
      <c r="B180" s="1"/>
      <c r="C180" s="1">
        <v>20</v>
      </c>
      <c r="D180" s="1">
        <v>20</v>
      </c>
      <c r="E180" s="5"/>
      <c r="F180" s="1"/>
    </row>
    <row r="181" spans="1:6">
      <c r="B181" s="1"/>
      <c r="C181" s="1"/>
      <c r="D181" s="1"/>
      <c r="E181" s="5"/>
      <c r="F181" s="1"/>
    </row>
    <row r="182" spans="1:6">
      <c r="A182" t="s">
        <v>122</v>
      </c>
      <c r="B182" s="1"/>
      <c r="C182" s="1"/>
      <c r="D182" s="1"/>
      <c r="E182" s="5"/>
      <c r="F182" s="1"/>
    </row>
    <row r="183" spans="1:6">
      <c r="B183" s="1"/>
      <c r="C183" s="1"/>
      <c r="D183" s="1"/>
      <c r="E183" s="5"/>
      <c r="F183" s="1"/>
    </row>
    <row r="184" spans="1:6">
      <c r="A184" t="s">
        <v>123</v>
      </c>
      <c r="B184" s="1"/>
      <c r="C184" s="1"/>
      <c r="D184" s="1">
        <v>295041.51199999999</v>
      </c>
      <c r="E184" s="5"/>
      <c r="F184" s="1">
        <v>295041.51199999999</v>
      </c>
    </row>
    <row r="185" spans="1:6">
      <c r="B185" s="1"/>
      <c r="C185" s="1"/>
      <c r="D185" s="1"/>
      <c r="E185" s="5"/>
      <c r="F185" s="1"/>
    </row>
    <row r="186" spans="1:6">
      <c r="B186" s="1"/>
      <c r="C186" s="1"/>
      <c r="D186" s="1"/>
      <c r="E186" s="5"/>
      <c r="F186" s="1"/>
    </row>
    <row r="187" spans="1:6">
      <c r="A187" t="s">
        <v>124</v>
      </c>
      <c r="B187" s="1"/>
      <c r="C187" s="1"/>
      <c r="D187" s="1">
        <v>295041.51199999999</v>
      </c>
      <c r="E187" s="5"/>
      <c r="F187" s="1">
        <v>295041.51199999999</v>
      </c>
    </row>
    <row r="188" spans="1:6">
      <c r="B188" s="1"/>
      <c r="C188" s="1"/>
      <c r="D188" s="1"/>
      <c r="E188" s="5"/>
      <c r="F188" s="1"/>
    </row>
    <row r="189" spans="1:6">
      <c r="B189" s="1"/>
      <c r="C189" s="1"/>
      <c r="D189" s="1"/>
      <c r="E189" s="5"/>
      <c r="F189" s="1"/>
    </row>
    <row r="190" spans="1:6">
      <c r="B190" s="1"/>
      <c r="C190" s="1"/>
      <c r="D190" s="1"/>
      <c r="E190" s="5"/>
      <c r="F190" s="1"/>
    </row>
    <row r="191" spans="1:6">
      <c r="A191" t="s">
        <v>125</v>
      </c>
      <c r="B191" s="1"/>
      <c r="C191" s="1"/>
      <c r="D191" s="1">
        <v>295041.51199999999</v>
      </c>
      <c r="E191" s="5"/>
      <c r="F191" s="1">
        <v>295041.51199999999</v>
      </c>
    </row>
    <row r="192" spans="1:6">
      <c r="B192" s="1"/>
      <c r="C192" s="1"/>
      <c r="D192" s="1"/>
      <c r="E192" s="5"/>
      <c r="F192" s="1"/>
    </row>
    <row r="193" spans="1:6">
      <c r="B193" s="1"/>
      <c r="C193" s="1"/>
      <c r="D193" s="1"/>
      <c r="E193" s="5"/>
      <c r="F193" s="1"/>
    </row>
    <row r="194" spans="1:6">
      <c r="B194" s="1"/>
      <c r="C194" s="1"/>
      <c r="D194" s="1"/>
      <c r="E194" s="5"/>
      <c r="F194" s="1"/>
    </row>
    <row r="195" spans="1:6">
      <c r="A195" t="s">
        <v>126</v>
      </c>
      <c r="B195" s="1"/>
      <c r="C195" s="1"/>
      <c r="D195" s="1">
        <v>295041.51199999999</v>
      </c>
      <c r="E195" s="5"/>
      <c r="F195" s="1">
        <v>295041.51199999999</v>
      </c>
    </row>
    <row r="196" spans="1:6">
      <c r="B196" s="1"/>
      <c r="C196" s="1"/>
      <c r="D196" s="1"/>
      <c r="E196" s="5"/>
      <c r="F196" s="1"/>
    </row>
    <row r="197" spans="1:6">
      <c r="B197" s="1"/>
      <c r="C197" s="1"/>
      <c r="D197" s="1"/>
      <c r="E197" s="5"/>
      <c r="F197" s="1"/>
    </row>
    <row r="198" spans="1:6">
      <c r="B198" s="1"/>
      <c r="C198" s="1"/>
      <c r="D198" s="1"/>
      <c r="E198" s="5"/>
      <c r="F198" s="1"/>
    </row>
    <row r="199" spans="1:6">
      <c r="A199" t="s">
        <v>127</v>
      </c>
      <c r="B199" s="1"/>
      <c r="C199" s="1"/>
      <c r="D199" s="1">
        <v>295041.51199999999</v>
      </c>
      <c r="E199" s="5"/>
      <c r="F199" s="1">
        <v>295041.51199999999</v>
      </c>
    </row>
    <row r="200" spans="1:6">
      <c r="B200" s="1"/>
      <c r="C200" s="1"/>
      <c r="D200" s="1"/>
      <c r="E200" s="5"/>
      <c r="F200" s="1"/>
    </row>
    <row r="201" spans="1:6">
      <c r="B201" s="1"/>
      <c r="C201" s="1"/>
      <c r="D201" s="1"/>
      <c r="E201" s="5"/>
      <c r="F201" s="1"/>
    </row>
    <row r="202" spans="1:6">
      <c r="B202" s="1"/>
      <c r="C202" s="1"/>
      <c r="D202" s="1"/>
      <c r="E202" s="5"/>
      <c r="F202" s="1"/>
    </row>
    <row r="203" spans="1:6">
      <c r="A203" t="s">
        <v>128</v>
      </c>
      <c r="B203" s="1"/>
      <c r="C203" s="1">
        <v>75665.679999999993</v>
      </c>
      <c r="D203" s="1">
        <v>26113964.116</v>
      </c>
      <c r="E203" s="5"/>
      <c r="F203" s="1">
        <v>26038298.436000001</v>
      </c>
    </row>
    <row r="204" spans="1:6">
      <c r="B204" s="1"/>
      <c r="C204" s="1"/>
      <c r="D204" s="1"/>
      <c r="E204" s="5"/>
      <c r="F204" s="1"/>
    </row>
    <row r="205" spans="1:6">
      <c r="B205" s="1"/>
      <c r="C205" s="1"/>
      <c r="D205" s="1"/>
      <c r="E205" s="5"/>
      <c r="F205" s="1"/>
    </row>
    <row r="206" spans="1:6">
      <c r="B206" s="1"/>
      <c r="C206" s="1"/>
      <c r="D206" s="1"/>
      <c r="E206" s="5"/>
      <c r="F206" s="1"/>
    </row>
    <row r="207" spans="1:6">
      <c r="A207" t="s">
        <v>129</v>
      </c>
      <c r="B207" s="1"/>
      <c r="C207" s="1">
        <v>40531273.259000003</v>
      </c>
      <c r="D207" s="1">
        <v>33027854.772999998</v>
      </c>
      <c r="E207" s="5">
        <v>7503418.4859999996</v>
      </c>
      <c r="F207" s="1"/>
    </row>
    <row r="208" spans="1:6">
      <c r="B208" s="1"/>
      <c r="C208" s="1"/>
      <c r="D208" s="1"/>
      <c r="E208" s="5"/>
      <c r="F208" s="1"/>
    </row>
    <row r="209" spans="1:6">
      <c r="B209" s="1"/>
      <c r="C209" s="1"/>
      <c r="D209" s="1"/>
      <c r="E209" s="5"/>
      <c r="F209" s="1"/>
    </row>
    <row r="210" spans="1:6">
      <c r="A210" t="s">
        <v>130</v>
      </c>
      <c r="B210" s="1"/>
      <c r="C210" s="1"/>
      <c r="D210" s="1"/>
      <c r="E210" s="5"/>
      <c r="F210" s="1"/>
    </row>
    <row r="211" spans="1:6">
      <c r="A211" t="s">
        <v>130</v>
      </c>
      <c r="B211" s="1"/>
      <c r="C211" s="1"/>
      <c r="D211" s="1"/>
      <c r="E211" s="5"/>
      <c r="F211" s="1"/>
    </row>
    <row r="212" spans="1:6">
      <c r="B212" s="1"/>
      <c r="C212" s="1"/>
      <c r="D212" s="1"/>
      <c r="E212" s="5"/>
      <c r="F212" s="1"/>
    </row>
    <row r="213" spans="1:6">
      <c r="A213" t="s">
        <v>131</v>
      </c>
      <c r="B213" s="1" t="s">
        <v>3</v>
      </c>
      <c r="C213" s="1" t="s">
        <v>4</v>
      </c>
      <c r="D213" s="1" t="s">
        <v>5</v>
      </c>
      <c r="E213" s="5" t="s">
        <v>6</v>
      </c>
      <c r="F213" s="1" t="s">
        <v>7</v>
      </c>
    </row>
    <row r="214" spans="1:6">
      <c r="B214" s="1"/>
      <c r="C214" s="1"/>
      <c r="D214" s="1"/>
      <c r="E214" s="5"/>
      <c r="F214" s="1"/>
    </row>
    <row r="215" spans="1:6">
      <c r="B215" s="1"/>
      <c r="C215" s="1"/>
      <c r="D215" s="1"/>
      <c r="E215" s="5"/>
      <c r="F215" s="1"/>
    </row>
    <row r="216" spans="1:6">
      <c r="A216" t="s">
        <v>132</v>
      </c>
      <c r="B216" s="1"/>
      <c r="C216" s="1">
        <v>40531273.259000003</v>
      </c>
      <c r="D216" s="1">
        <v>33027854.772999998</v>
      </c>
      <c r="E216" s="5">
        <v>7503418.4859999996</v>
      </c>
      <c r="F216" s="1"/>
    </row>
    <row r="217" spans="1:6">
      <c r="B217" s="1"/>
      <c r="C217" s="1"/>
      <c r="D217" s="1"/>
      <c r="E217" s="5"/>
      <c r="F217" s="1"/>
    </row>
    <row r="218" spans="1:6">
      <c r="B218" s="1"/>
      <c r="C218" s="1"/>
      <c r="D218" s="1"/>
      <c r="E218" s="5"/>
      <c r="F218" s="1"/>
    </row>
    <row r="219" spans="1:6">
      <c r="B219" s="1"/>
      <c r="C219" s="1"/>
      <c r="D219" s="1"/>
      <c r="E219" s="5"/>
      <c r="F219" s="1"/>
    </row>
    <row r="220" spans="1:6">
      <c r="A220" t="s">
        <v>129</v>
      </c>
      <c r="B220" s="1"/>
      <c r="C220" s="1">
        <v>40531273.259000003</v>
      </c>
      <c r="D220" s="1">
        <v>33027854.772999998</v>
      </c>
      <c r="E220" s="5">
        <v>7503418.4859999996</v>
      </c>
      <c r="F2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ED$B16B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hp</cp:lastModifiedBy>
  <dcterms:created xsi:type="dcterms:W3CDTF">2026-02-18T11:32:38Z</dcterms:created>
  <dcterms:modified xsi:type="dcterms:W3CDTF">2026-05-03T14:51:15Z</dcterms:modified>
</cp:coreProperties>
</file>