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ED$F8A" sheetId="1" r:id="rId1"/>
  </sheets>
  <calcPr calcId="125725"/>
</workbook>
</file>

<file path=xl/calcChain.xml><?xml version="1.0" encoding="utf-8"?>
<calcChain xmlns="http://schemas.openxmlformats.org/spreadsheetml/2006/main">
  <c r="H15" i="1"/>
  <c r="H16"/>
  <c r="H17"/>
  <c r="H14"/>
  <c r="G15"/>
  <c r="G16"/>
  <c r="G17"/>
  <c r="G14"/>
  <c r="F15"/>
  <c r="F16"/>
  <c r="F17"/>
  <c r="F14"/>
</calcChain>
</file>

<file path=xl/sharedStrings.xml><?xml version="1.0" encoding="utf-8"?>
<sst xmlns="http://schemas.openxmlformats.org/spreadsheetml/2006/main" count="149" uniqueCount="142">
  <si>
    <t>V:8.0i/BCT230/TR/LV/HT/G /                                    H O T I X                                      2404  BEL AZUR cpt 2024</t>
  </si>
  <si>
    <t>18.02.26                          BALANCE FIN DE PERIODE - COMPTABILITE GENERALE   01/24  =&gt;  12/24                        12:33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</si>
  <si>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</si>
  <si>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</si>
  <si>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</si>
  <si>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</si>
  <si>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</si>
  <si>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</si>
  <si>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</si>
  <si>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</si>
  <si>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604000  ACHATS D'ETUDE &amp; PREST.DE SCE</t>
  </si>
  <si>
    <t>604300  ACHATS TRANSFERTS</t>
  </si>
  <si>
    <t>606400  "ACH.NON STOCKES  ""EAU"""</t>
  </si>
  <si>
    <t>606500  "ACH.NON STOCKES ""ELECTRICITE</t>
  </si>
  <si>
    <t>606501  ACHAT NON STOCKES "GAZ"</t>
  </si>
  <si>
    <t>606502  ACH. NON STOCKES CARBURANT</t>
  </si>
  <si>
    <t>606505  ACH.NON STOCKES POTERIE</t>
  </si>
  <si>
    <t>606525  ACH.STOCKES FOUR.MAT.SANITAIRE</t>
  </si>
  <si>
    <t>606545  ACH.STOCKES FOUR.MAT.BUREAU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</si>
  <si>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</si>
  <si>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</si>
  <si>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</si>
  <si>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</si>
  <si>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</si>
  <si>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</si>
  <si>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</si>
  <si>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</si>
  <si>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</si>
  <si>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</si>
  <si>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</si>
  <si>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</si>
  <si>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</si>
  <si>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</si>
  <si>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</si>
  <si>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</si>
  <si>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</si>
  <si>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</si>
  <si>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</si>
  <si>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</si>
  <si>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ACH.P.MAT.D'EXPLOITATION</t>
  </si>
  <si>
    <t>606989  ACH.STOCKES FOUR.MAT.BUANDERIE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</si>
  <si>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</si>
  <si>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</si>
  <si>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</si>
  <si>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</si>
  <si>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</si>
  <si>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609000  R R R  OBTENUS /ACHATS</t>
  </si>
  <si>
    <t>TOTAL   60**** ACHATS</t>
  </si>
  <si>
    <t>61****  SERVICES EXTERIEURS</t>
  </si>
  <si>
    <t>613000  LOCATION</t>
  </si>
  <si>
    <t>615000  ENTRETIEN ET REPARATION</t>
  </si>
  <si>
    <t>615100  "ENTRET.&amp; REPARAT.""PARCK-AUTO</t>
  </si>
  <si>
    <t>616000  PRIMES  D'ASSURANCES</t>
  </si>
  <si>
    <t>617000  ETUDE.RECH.DIVERS SCE.EXTER</t>
  </si>
  <si>
    <t>617100  FORM.PROFES.CONT.ORGANIS EXT</t>
  </si>
  <si>
    <t>TOTAL   61**** SERVICES EXTERIEURS</t>
  </si>
  <si>
    <t>62****  AUTRES SERVICES EXTERIEURS</t>
  </si>
  <si>
    <t>620000  AUTRES SERVICES EXTERIEURS</t>
  </si>
  <si>
    <t>621000  PERSON.EXTER.A L'ENTREP.</t>
  </si>
  <si>
    <t>621200  PERS.EXTER.A ENTREP. (SEJOUR)</t>
  </si>
  <si>
    <t>621400  PERS EXR ENREP DIVERTISSEMENT</t>
  </si>
  <si>
    <t>623000  PUBLIC.PUBLICAT.RELATION PUBL</t>
  </si>
  <si>
    <t>624000  TRANSPORT DE BIENS</t>
  </si>
  <si>
    <t>624800  DIVERS    *TRANSPORT*</t>
  </si>
  <si>
    <t>625100  VOYAGES MISSION A L'ETRANGER</t>
  </si>
  <si>
    <t>626000  REDEV.TELEPHON./FAX./TIMBRES</t>
  </si>
  <si>
    <t>627000  "AUTRES SCE EXTER.""SCE BANC.&amp;</t>
  </si>
  <si>
    <t>627100  FRAIS/TITRES</t>
  </si>
  <si>
    <t>TOTAL   62**** AUTRES SERVICES EXTERIE</t>
  </si>
  <si>
    <t>63****  CHARGES DIVERSES ORDINAIRES</t>
  </si>
  <si>
    <t>630000  CHARGES DIVERS ORDINAIRES</t>
  </si>
  <si>
    <t>631000  REDEVANCE P.CONCESSION MARQUE</t>
  </si>
  <si>
    <t>638000  CHARGES LIEES UNE MODIF.CPTA.</t>
  </si>
  <si>
    <t>TOTAL   63**** CHARGES DIVERSES ORDINA</t>
  </si>
  <si>
    <t>64****  CHARGES DE PERSONNEL</t>
  </si>
  <si>
    <t>640100  SALAIRES &amp; COMPLEME.SALAIRES</t>
  </si>
  <si>
    <t>646200  INDEMNITES PREAVIS &amp; LICENCEM</t>
  </si>
  <si>
    <t>TOTAL   64**** CHARGES DE PERSONNEL</t>
  </si>
  <si>
    <t>65****  CHARGES FINANCIERES</t>
  </si>
  <si>
    <t>650000  CHARGES FINANCIERES</t>
  </si>
  <si>
    <t>651000  CHARGES D'INTERETS/EMPRUNTS</t>
  </si>
  <si>
    <t>651160  INTERETS DS EMPRUNTS &amp; DETTES</t>
  </si>
  <si>
    <t>651600  INTERETS BANCAIRES/OPERAT.DE F</t>
  </si>
  <si>
    <t>651800  INTERETS ET AUTRES DETTES</t>
  </si>
  <si>
    <t>655000  PERTES DE CHANGE</t>
  </si>
  <si>
    <t>657000  AUTRES CHARGES FINANCIERES</t>
  </si>
  <si>
    <t>TOTAL   65**** CHARGES FINANCIERES</t>
  </si>
  <si>
    <t>66****  IMPOTS TAXES &amp; VERS ASSIM</t>
  </si>
  <si>
    <t>660100  T F P</t>
  </si>
  <si>
    <t>660200  F O P R O L O S</t>
  </si>
  <si>
    <t>661400  RECEVEUR DE FINANCES VIGNETTE</t>
  </si>
  <si>
    <t>665100  IMPOTS ET TAXES DIVERS</t>
  </si>
  <si>
    <t>665200  TAXES/CHIFF.D'AFFA.NON RECUPE</t>
  </si>
  <si>
    <t>665400  DROITS DE TIMBRES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</si>
  <si>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</si>
  <si>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</si>
  <si>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</si>
  <si>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</si>
  <si>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69****  IMPOTS SUR LES BENEFICES</t>
  </si>
  <si>
    <t>690000  IMPOTS SUR LES BENEFICES</t>
  </si>
  <si>
    <t>TOTAL   69**** IMPOTS SUR LES BENEFICE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</si>
  <si>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</si>
  <si>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</si>
  <si>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</si>
  <si>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</si>
  <si>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</si>
  <si>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</si>
  <si>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</si>
  <si>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</si>
  <si>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</si>
  <si>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</si>
  <si>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700511  TRANSFERT</t>
  </si>
  <si>
    <t>700901  R.R.R ACCORDER/PREST.SCE</t>
  </si>
  <si>
    <t>705030  VTE SUSPENTION TVA "LOGEMENT"</t>
  </si>
  <si>
    <t>TOTAL   70**** VENTES MARCH.PREST.DE S</t>
  </si>
  <si>
    <t>73****  PRODUITS DIVERS ORDINAIRES</t>
  </si>
  <si>
    <t>730000  PRODUITS DIVERS ORDINAIRES</t>
  </si>
  <si>
    <t>730100  PRODUITS LOCATIONS LOCAUX</t>
  </si>
  <si>
    <t>730200  PRODUITS DE CHANGES</t>
  </si>
  <si>
    <t>730400  PROD.FINANC.JETON /TANTIEMET</t>
  </si>
  <si>
    <t>736200  PROFIT/CESSION IMMO. FINANC.</t>
  </si>
  <si>
    <t>TOTAL   73**** PRODUITS DIVERS ORDINAI</t>
  </si>
  <si>
    <t>75****  PRODUITS FINANCIERS</t>
  </si>
  <si>
    <t>750000  PRODUITS  FINANCIERS</t>
  </si>
  <si>
    <t>750100  PRODUITS DE PARTICIPATIONS</t>
  </si>
  <si>
    <t>750600  GAINS DE CHANGE</t>
  </si>
  <si>
    <t>TOTAL   75**** PRODUITS FINANCIERS</t>
  </si>
  <si>
    <t>79****  TRANSFERTS DE CHARGES</t>
  </si>
  <si>
    <t>790000  TRANSFERTS  DE CHARGES</t>
  </si>
  <si>
    <t>TOTAL   79000*</t>
  </si>
  <si>
    <t>TOTAL   7900**</t>
  </si>
  <si>
    <t>TOTAL   790***</t>
  </si>
  <si>
    <t>TOTAL   79**** TRANSFERTS DE CHARGES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</si>
  <si>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</si>
  <si>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</si>
  <si>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</si>
  <si>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</si>
  <si>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</si>
  <si>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</si>
  <si>
    <t>bel 2024</t>
  </si>
  <si>
    <t>ryl 2024</t>
  </si>
  <si>
    <t>sol 2024</t>
  </si>
</sst>
</file>

<file path=xl/styles.xml><?xml version="1.0" encoding="utf-8"?>
<styleSheet xmlns="http://schemas.openxmlformats.org/spreadsheetml/2006/main">
  <numFmts count="1">
    <numFmt numFmtId="164" formatCode="#,##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H226"/>
  <sheetViews>
    <sheetView tabSelected="1" zoomScale="85" zoomScaleNormal="85" workbookViewId="0">
      <selection activeCell="H14" sqref="H14:H17"/>
    </sheetView>
  </sheetViews>
  <sheetFormatPr baseColWidth="10" defaultRowHeight="14.5"/>
  <cols>
    <col min="1" max="1" width="44.1796875" customWidth="1"/>
    <col min="3" max="6" width="13.453125" bestFit="1" customWidth="1"/>
  </cols>
  <sheetData>
    <row r="2" spans="1:8">
      <c r="A2" t="s">
        <v>0</v>
      </c>
    </row>
    <row r="3" spans="1:8">
      <c r="A3" t="s">
        <v>1</v>
      </c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7" spans="1:8">
      <c r="A7" t="s">
        <v>8</v>
      </c>
      <c r="B7" s="1"/>
      <c r="C7" s="1"/>
      <c r="D7" s="1"/>
      <c r="E7" s="1"/>
      <c r="F7" s="1"/>
    </row>
    <row r="8" spans="1:8">
      <c r="B8" s="1"/>
      <c r="C8" s="1"/>
      <c r="D8" s="1"/>
      <c r="E8" s="1"/>
      <c r="F8" s="1"/>
    </row>
    <row r="9" spans="1:8">
      <c r="A9" t="s">
        <v>9</v>
      </c>
      <c r="B9" s="1"/>
      <c r="C9" s="1"/>
      <c r="D9" s="1"/>
      <c r="E9" s="1"/>
      <c r="F9" s="1"/>
    </row>
    <row r="10" spans="1:8">
      <c r="B10" s="1"/>
      <c r="C10" s="1"/>
      <c r="D10" s="1"/>
      <c r="E10" s="1"/>
      <c r="F10" s="1"/>
    </row>
    <row r="11" spans="1:8">
      <c r="A11" t="s">
        <v>10</v>
      </c>
      <c r="B11" s="1"/>
      <c r="C11" s="1">
        <v>1130.8409999999999</v>
      </c>
      <c r="D11" s="1"/>
      <c r="E11" s="1">
        <v>1130.8409999999999</v>
      </c>
      <c r="F11" s="1"/>
    </row>
    <row r="12" spans="1:8">
      <c r="A12" t="s">
        <v>11</v>
      </c>
      <c r="B12" s="1"/>
      <c r="C12" s="1">
        <v>28156.544999999998</v>
      </c>
      <c r="D12" s="1"/>
      <c r="E12" s="1">
        <v>28156.544999999998</v>
      </c>
      <c r="F12" s="1"/>
    </row>
    <row r="13" spans="1:8">
      <c r="B13" s="1"/>
      <c r="C13" s="1"/>
      <c r="D13" s="1"/>
      <c r="E13" s="1"/>
      <c r="F13" s="1" t="s">
        <v>139</v>
      </c>
      <c r="G13" t="s">
        <v>140</v>
      </c>
      <c r="H13" t="s">
        <v>141</v>
      </c>
    </row>
    <row r="14" spans="1:8">
      <c r="A14" s="2" t="s">
        <v>12</v>
      </c>
      <c r="B14" s="3"/>
      <c r="C14" s="3">
        <v>1124036.8870000001</v>
      </c>
      <c r="D14" s="3"/>
      <c r="E14" s="3">
        <v>1124036.8870000001</v>
      </c>
      <c r="F14" s="1">
        <f>E14*0.46</f>
        <v>517056.96802000009</v>
      </c>
      <c r="G14">
        <f>E14*0.25</f>
        <v>281009.22175000003</v>
      </c>
      <c r="H14">
        <f>E14*0.29</f>
        <v>325970.69722999999</v>
      </c>
    </row>
    <row r="15" spans="1:8">
      <c r="A15" s="2" t="s">
        <v>13</v>
      </c>
      <c r="B15" s="3"/>
      <c r="C15" s="3">
        <v>2164620.16</v>
      </c>
      <c r="D15" s="3"/>
      <c r="E15" s="3">
        <v>2164620.16</v>
      </c>
      <c r="F15" s="1">
        <f t="shared" ref="F15:F17" si="0">E15*0.46</f>
        <v>995725.27360000007</v>
      </c>
      <c r="G15">
        <f t="shared" ref="G15:G17" si="1">E15*0.25</f>
        <v>541155.04</v>
      </c>
      <c r="H15">
        <f t="shared" ref="H15:H17" si="2">E15*0.29</f>
        <v>627739.84640000004</v>
      </c>
    </row>
    <row r="16" spans="1:8">
      <c r="A16" s="2" t="s">
        <v>14</v>
      </c>
      <c r="B16" s="3"/>
      <c r="C16" s="3">
        <v>850390.19099999999</v>
      </c>
      <c r="D16" s="3"/>
      <c r="E16" s="3">
        <v>850390.19099999999</v>
      </c>
      <c r="F16" s="1">
        <f t="shared" si="0"/>
        <v>391179.48785999999</v>
      </c>
      <c r="G16">
        <f t="shared" si="1"/>
        <v>212597.54775</v>
      </c>
      <c r="H16">
        <f t="shared" si="2"/>
        <v>246613.15538999997</v>
      </c>
    </row>
    <row r="17" spans="1:8">
      <c r="A17" s="2" t="s">
        <v>15</v>
      </c>
      <c r="B17" s="3"/>
      <c r="C17" s="3">
        <v>342.00099999999998</v>
      </c>
      <c r="D17" s="3"/>
      <c r="E17" s="3">
        <v>342.00099999999998</v>
      </c>
      <c r="F17" s="1">
        <f t="shared" si="0"/>
        <v>157.32046</v>
      </c>
      <c r="G17">
        <f t="shared" si="1"/>
        <v>85.500249999999994</v>
      </c>
      <c r="H17">
        <f t="shared" si="2"/>
        <v>99.180289999999985</v>
      </c>
    </row>
    <row r="18" spans="1:8">
      <c r="A18" t="s">
        <v>16</v>
      </c>
      <c r="B18" s="1"/>
      <c r="C18" s="1">
        <v>3643.1129999999998</v>
      </c>
      <c r="D18" s="1"/>
      <c r="E18" s="1">
        <v>3643.1129999999998</v>
      </c>
      <c r="F18" s="1"/>
    </row>
    <row r="19" spans="1:8">
      <c r="A19" t="s">
        <v>17</v>
      </c>
      <c r="B19" s="1"/>
      <c r="C19" s="1">
        <v>68995.778999999995</v>
      </c>
      <c r="D19" s="1">
        <v>60.293999999999997</v>
      </c>
      <c r="E19" s="1">
        <v>68935.485000000001</v>
      </c>
      <c r="F19" s="1"/>
    </row>
    <row r="20" spans="1:8">
      <c r="A20" t="s">
        <v>18</v>
      </c>
      <c r="B20" s="1"/>
      <c r="C20" s="1">
        <v>61194.574000000001</v>
      </c>
      <c r="D20" s="1">
        <v>36.944000000000003</v>
      </c>
      <c r="E20" s="1">
        <v>61157.63</v>
      </c>
      <c r="F20" s="1"/>
    </row>
    <row r="21" spans="1:8">
      <c r="A21" t="s">
        <v>19</v>
      </c>
      <c r="B21" s="1"/>
      <c r="C21" s="1">
        <v>515.60199999999998</v>
      </c>
      <c r="D21" s="1">
        <v>8.0000000000000002E-3</v>
      </c>
      <c r="E21" s="1">
        <v>515.59400000000005</v>
      </c>
      <c r="F21" s="1"/>
    </row>
    <row r="22" spans="1:8">
      <c r="A22" t="s">
        <v>20</v>
      </c>
      <c r="B22" s="1"/>
      <c r="C22" s="1">
        <v>439.44900000000001</v>
      </c>
      <c r="D22" s="1"/>
      <c r="E22" s="1">
        <v>439.44900000000001</v>
      </c>
      <c r="F22" s="1"/>
    </row>
    <row r="23" spans="1:8">
      <c r="A23" t="s">
        <v>21</v>
      </c>
      <c r="B23" s="1"/>
      <c r="C23" s="1">
        <v>2267.4319999999998</v>
      </c>
      <c r="D23" s="1">
        <v>2E-3</v>
      </c>
      <c r="E23" s="1">
        <v>2267.4299999999998</v>
      </c>
      <c r="F23" s="1"/>
    </row>
    <row r="24" spans="1:8">
      <c r="A24" t="s">
        <v>22</v>
      </c>
      <c r="B24" s="1"/>
      <c r="C24" s="1">
        <v>7575.3869999999997</v>
      </c>
      <c r="D24" s="1">
        <v>0.153</v>
      </c>
      <c r="E24" s="1">
        <v>7575.2340000000004</v>
      </c>
      <c r="F24" s="1"/>
    </row>
    <row r="25" spans="1:8">
      <c r="A25" t="s">
        <v>23</v>
      </c>
      <c r="B25" s="1"/>
      <c r="C25" s="1">
        <v>53821.339</v>
      </c>
      <c r="D25" s="1">
        <v>919.42399999999998</v>
      </c>
      <c r="E25" s="1">
        <v>52901.915000000001</v>
      </c>
      <c r="F25" s="1"/>
    </row>
    <row r="26" spans="1:8">
      <c r="A26" t="s">
        <v>24</v>
      </c>
      <c r="B26" s="1"/>
      <c r="C26" s="1">
        <v>15853.736000000001</v>
      </c>
      <c r="D26" s="1">
        <v>3.5449999999999999</v>
      </c>
      <c r="E26" s="1">
        <v>15850.191000000001</v>
      </c>
      <c r="F26" s="1"/>
    </row>
    <row r="27" spans="1:8">
      <c r="A27" t="s">
        <v>25</v>
      </c>
      <c r="B27" s="1"/>
      <c r="C27" s="1">
        <v>14965.739</v>
      </c>
      <c r="D27" s="1">
        <v>1056.8109999999999</v>
      </c>
      <c r="E27" s="1">
        <v>13908.928</v>
      </c>
      <c r="F27" s="1"/>
    </row>
    <row r="28" spans="1:8">
      <c r="A28" t="s">
        <v>26</v>
      </c>
      <c r="B28" s="1"/>
      <c r="C28" s="1">
        <v>33745.425999999999</v>
      </c>
      <c r="D28" s="1">
        <v>2.5910000000000002</v>
      </c>
      <c r="E28" s="1">
        <v>33742.834999999999</v>
      </c>
      <c r="F28" s="1"/>
    </row>
    <row r="29" spans="1:8">
      <c r="A29" t="s">
        <v>27</v>
      </c>
      <c r="B29" s="1"/>
      <c r="C29" s="1">
        <v>1985.6369999999999</v>
      </c>
      <c r="D29" s="1">
        <v>3.1E-2</v>
      </c>
      <c r="E29" s="1">
        <v>1985.606</v>
      </c>
      <c r="F29" s="1"/>
    </row>
    <row r="30" spans="1:8">
      <c r="A30" t="s">
        <v>28</v>
      </c>
      <c r="B30" s="1"/>
      <c r="C30" s="1">
        <v>17320.544999999998</v>
      </c>
      <c r="D30" s="1">
        <v>2678.2130000000002</v>
      </c>
      <c r="E30" s="1">
        <v>14642.332</v>
      </c>
      <c r="F30" s="1"/>
    </row>
    <row r="31" spans="1:8">
      <c r="A31" t="s">
        <v>29</v>
      </c>
      <c r="B31" s="1"/>
      <c r="C31" s="1">
        <v>78148.567999999999</v>
      </c>
      <c r="D31" s="1">
        <v>0.43</v>
      </c>
      <c r="E31" s="1">
        <v>78148.138000000006</v>
      </c>
      <c r="F31" s="1"/>
    </row>
    <row r="32" spans="1:8">
      <c r="A32" t="s">
        <v>30</v>
      </c>
      <c r="B32" s="1"/>
      <c r="C32" s="1">
        <v>8644.9539999999997</v>
      </c>
      <c r="D32" s="1">
        <v>2108.511</v>
      </c>
      <c r="E32" s="1">
        <v>6536.4430000000002</v>
      </c>
      <c r="F32" s="1"/>
    </row>
    <row r="33" spans="1:6">
      <c r="A33" t="s">
        <v>31</v>
      </c>
      <c r="B33" s="1"/>
      <c r="C33" s="1">
        <v>22721.632000000001</v>
      </c>
      <c r="D33" s="1">
        <v>0.32700000000000001</v>
      </c>
      <c r="E33" s="1">
        <v>22721.305</v>
      </c>
      <c r="F33" s="1"/>
    </row>
    <row r="34" spans="1:6">
      <c r="A34" t="s">
        <v>32</v>
      </c>
      <c r="B34" s="1"/>
      <c r="C34" s="1">
        <v>103480.18399999999</v>
      </c>
      <c r="D34" s="1">
        <v>60.82</v>
      </c>
      <c r="E34" s="1">
        <v>103419.364</v>
      </c>
      <c r="F34" s="1"/>
    </row>
    <row r="35" spans="1:6">
      <c r="A35" t="s">
        <v>33</v>
      </c>
      <c r="B35" s="1"/>
      <c r="C35" s="1">
        <v>279135.38400000002</v>
      </c>
      <c r="D35" s="1">
        <v>17108.455999999998</v>
      </c>
      <c r="E35" s="1">
        <v>262026.92800000001</v>
      </c>
      <c r="F35" s="1"/>
    </row>
    <row r="36" spans="1:6">
      <c r="A36" t="s">
        <v>34</v>
      </c>
      <c r="B36" s="1"/>
      <c r="C36" s="1">
        <v>4258.6940000000004</v>
      </c>
      <c r="D36" s="1">
        <v>0.36699999999999999</v>
      </c>
      <c r="E36" s="1">
        <v>4258.3270000000002</v>
      </c>
      <c r="F36" s="1"/>
    </row>
    <row r="37" spans="1:6">
      <c r="A37" t="s">
        <v>35</v>
      </c>
      <c r="B37" s="1" t="s">
        <v>138</v>
      </c>
      <c r="C37" s="1"/>
      <c r="D37" s="1">
        <v>27326.106</v>
      </c>
      <c r="E37" s="1">
        <v>318.33999999999997</v>
      </c>
      <c r="F37" s="1">
        <v>27007.766</v>
      </c>
    </row>
    <row r="38" spans="1:6">
      <c r="A38" t="s">
        <v>36</v>
      </c>
      <c r="B38" s="1"/>
      <c r="C38" s="1">
        <v>11792.73</v>
      </c>
      <c r="D38" s="1">
        <v>1.0999999999999999E-2</v>
      </c>
      <c r="E38" s="1">
        <v>11792.718999999999</v>
      </c>
      <c r="F38" s="1"/>
    </row>
    <row r="39" spans="1:6">
      <c r="A39" t="s">
        <v>37</v>
      </c>
      <c r="B39" s="1"/>
      <c r="C39" s="1">
        <v>1382.52</v>
      </c>
      <c r="D39" s="1">
        <v>0.02</v>
      </c>
      <c r="E39" s="1">
        <v>1382.5</v>
      </c>
      <c r="F39" s="1"/>
    </row>
    <row r="40" spans="1:6">
      <c r="A40" t="s">
        <v>38</v>
      </c>
      <c r="B40" s="1"/>
      <c r="C40" s="1">
        <v>178.15199999999999</v>
      </c>
      <c r="D40" s="1"/>
      <c r="E40" s="1">
        <v>178.15199999999999</v>
      </c>
      <c r="F40" s="1"/>
    </row>
    <row r="41" spans="1:6">
      <c r="A41" t="s">
        <v>39</v>
      </c>
      <c r="B41" s="1"/>
      <c r="C41" s="1"/>
      <c r="D41" s="1"/>
      <c r="E41" s="1"/>
      <c r="F41" s="1"/>
    </row>
    <row r="42" spans="1:6">
      <c r="A42" t="s">
        <v>40</v>
      </c>
      <c r="B42" s="1"/>
      <c r="C42" s="1"/>
      <c r="D42" s="1"/>
      <c r="E42" s="1"/>
      <c r="F42" s="1"/>
    </row>
    <row r="43" spans="1:6">
      <c r="B43" s="1"/>
      <c r="C43" s="1"/>
      <c r="D43" s="1"/>
      <c r="E43" s="1"/>
      <c r="F43" s="1"/>
    </row>
    <row r="44" spans="1:6">
      <c r="A44" t="s">
        <v>41</v>
      </c>
      <c r="B44" s="1"/>
      <c r="C44" s="1">
        <v>7.6449999999999996</v>
      </c>
      <c r="D44" s="1">
        <v>2614.1799999999998</v>
      </c>
      <c r="E44" s="1"/>
      <c r="F44" s="1">
        <v>2606.5349999999999</v>
      </c>
    </row>
    <row r="45" spans="1:6">
      <c r="A45" t="s">
        <v>42</v>
      </c>
      <c r="B45" s="1"/>
      <c r="C45" s="1">
        <v>5769486.7829999998</v>
      </c>
      <c r="D45" s="1">
        <v>341018.36800000002</v>
      </c>
      <c r="E45" s="1">
        <v>5428468.415</v>
      </c>
      <c r="F45" s="1"/>
    </row>
    <row r="46" spans="1:6">
      <c r="A46" t="s">
        <v>43</v>
      </c>
      <c r="B46" s="1"/>
      <c r="C46" s="1">
        <v>815908.25800000003</v>
      </c>
      <c r="D46" s="1">
        <v>49891.737999999998</v>
      </c>
      <c r="E46" s="1">
        <v>766016.52</v>
      </c>
      <c r="F46" s="1"/>
    </row>
    <row r="47" spans="1:6">
      <c r="A47" t="s">
        <v>44</v>
      </c>
      <c r="B47" s="1"/>
      <c r="C47" s="1">
        <v>891456.03200000001</v>
      </c>
      <c r="D47" s="1">
        <v>23572.955999999998</v>
      </c>
      <c r="E47" s="1">
        <v>867883.076</v>
      </c>
      <c r="F47" s="1"/>
    </row>
    <row r="48" spans="1:6">
      <c r="A48" t="s">
        <v>45</v>
      </c>
      <c r="B48" s="1"/>
      <c r="C48" s="1">
        <v>180594.02</v>
      </c>
      <c r="D48" s="1">
        <v>4885.3419999999996</v>
      </c>
      <c r="E48" s="1">
        <v>175708.67800000001</v>
      </c>
      <c r="F48" s="1"/>
    </row>
    <row r="49" spans="1:6">
      <c r="B49" s="1"/>
      <c r="C49" s="1"/>
      <c r="D49" s="1"/>
      <c r="E49" s="1"/>
      <c r="F49" s="1"/>
    </row>
    <row r="50" spans="1:6">
      <c r="A50" t="s">
        <v>46</v>
      </c>
      <c r="B50" s="1"/>
      <c r="C50" s="1">
        <v>0.4</v>
      </c>
      <c r="D50" s="1">
        <v>1200.0029999999999</v>
      </c>
      <c r="E50" s="1"/>
      <c r="F50" s="1">
        <v>1199.6030000000001</v>
      </c>
    </row>
    <row r="51" spans="1:6">
      <c r="B51" s="1"/>
      <c r="C51" s="1"/>
      <c r="D51" s="1"/>
      <c r="E51" s="1"/>
      <c r="F51" s="1"/>
    </row>
    <row r="52" spans="1:6">
      <c r="A52" t="s">
        <v>47</v>
      </c>
      <c r="B52" s="1"/>
      <c r="C52" s="1">
        <v>12645522.445</v>
      </c>
      <c r="D52" s="1">
        <v>447537.88500000001</v>
      </c>
      <c r="E52" s="1">
        <v>12197984.560000001</v>
      </c>
      <c r="F52" s="1"/>
    </row>
    <row r="53" spans="1:6">
      <c r="B53" s="1"/>
      <c r="C53" s="1"/>
      <c r="D53" s="1"/>
      <c r="E53" s="1"/>
      <c r="F53" s="1"/>
    </row>
    <row r="54" spans="1:6">
      <c r="A54" t="s">
        <v>48</v>
      </c>
      <c r="B54" s="1"/>
      <c r="C54" s="1"/>
      <c r="D54" s="1"/>
      <c r="E54" s="1"/>
      <c r="F54" s="1"/>
    </row>
    <row r="55" spans="1:6">
      <c r="B55" s="1"/>
      <c r="C55" s="1"/>
      <c r="D55" s="1"/>
      <c r="E55" s="1"/>
      <c r="F55" s="1"/>
    </row>
    <row r="56" spans="1:6">
      <c r="A56" t="s">
        <v>49</v>
      </c>
      <c r="B56" s="1"/>
      <c r="C56" s="1">
        <v>100</v>
      </c>
      <c r="D56" s="1"/>
      <c r="E56" s="1">
        <v>100</v>
      </c>
      <c r="F56" s="1"/>
    </row>
    <row r="57" spans="1:6">
      <c r="B57" s="1"/>
      <c r="C57" s="1"/>
      <c r="D57" s="1"/>
      <c r="E57" s="1"/>
      <c r="F57" s="1"/>
    </row>
    <row r="58" spans="1:6">
      <c r="A58" t="s">
        <v>50</v>
      </c>
      <c r="B58" s="1"/>
      <c r="C58" s="1">
        <v>217336.334</v>
      </c>
      <c r="D58" s="1">
        <v>2322.9490000000001</v>
      </c>
      <c r="E58" s="1">
        <v>215013.38500000001</v>
      </c>
      <c r="F58" s="1"/>
    </row>
    <row r="59" spans="1:6">
      <c r="A59" t="s">
        <v>51</v>
      </c>
      <c r="B59" s="1"/>
      <c r="C59" s="1">
        <v>22484.065999999999</v>
      </c>
      <c r="D59" s="1">
        <v>7.4379999999999997</v>
      </c>
      <c r="E59" s="1">
        <v>22476.628000000001</v>
      </c>
      <c r="F59" s="1"/>
    </row>
    <row r="60" spans="1:6">
      <c r="B60" s="1"/>
      <c r="C60" s="1"/>
      <c r="D60" s="1"/>
      <c r="E60" s="1"/>
      <c r="F60" s="1"/>
    </row>
    <row r="61" spans="1:6">
      <c r="A61" t="s">
        <v>52</v>
      </c>
      <c r="B61" s="1"/>
      <c r="C61" s="1">
        <v>93300.714999999997</v>
      </c>
      <c r="D61" s="1"/>
      <c r="E61" s="1">
        <v>93300.714999999997</v>
      </c>
      <c r="F61" s="1"/>
    </row>
    <row r="62" spans="1:6">
      <c r="B62" s="1"/>
      <c r="C62" s="1"/>
      <c r="D62" s="1"/>
      <c r="E62" s="1"/>
      <c r="F62" s="1"/>
    </row>
    <row r="63" spans="1:6">
      <c r="A63" t="s">
        <v>53</v>
      </c>
      <c r="B63" s="1"/>
      <c r="C63" s="1">
        <v>5400</v>
      </c>
      <c r="D63" s="1"/>
      <c r="E63" s="1">
        <v>5400</v>
      </c>
      <c r="F63" s="1"/>
    </row>
    <row r="64" spans="1:6">
      <c r="A64" t="s">
        <v>54</v>
      </c>
      <c r="B64" s="1"/>
      <c r="C64" s="1">
        <v>1000</v>
      </c>
      <c r="D64" s="1"/>
      <c r="E64" s="1">
        <v>1000</v>
      </c>
      <c r="F64" s="1"/>
    </row>
    <row r="65" spans="1:6">
      <c r="B65" s="1"/>
      <c r="C65" s="1"/>
      <c r="D65" s="1"/>
      <c r="E65" s="1"/>
      <c r="F65" s="1"/>
    </row>
    <row r="66" spans="1:6">
      <c r="A66" t="s">
        <v>55</v>
      </c>
      <c r="B66" s="1"/>
      <c r="C66" s="1">
        <v>339621.11499999999</v>
      </c>
      <c r="D66" s="1">
        <v>2330.3870000000002</v>
      </c>
      <c r="E66" s="1">
        <v>337290.728</v>
      </c>
      <c r="F66" s="1"/>
    </row>
    <row r="67" spans="1:6">
      <c r="B67" s="1"/>
      <c r="C67" s="1"/>
      <c r="D67" s="1"/>
      <c r="E67" s="1"/>
      <c r="F67" s="1"/>
    </row>
    <row r="68" spans="1:6">
      <c r="A68" t="s">
        <v>56</v>
      </c>
      <c r="B68" s="1"/>
      <c r="C68" s="1"/>
      <c r="D68" s="1"/>
      <c r="E68" s="1"/>
      <c r="F68" s="1"/>
    </row>
    <row r="69" spans="1:6">
      <c r="B69" s="1"/>
      <c r="C69" s="1"/>
      <c r="D69" s="1"/>
      <c r="E69" s="1"/>
      <c r="F69" s="1"/>
    </row>
    <row r="70" spans="1:6">
      <c r="A70" t="s">
        <v>57</v>
      </c>
      <c r="B70" s="1"/>
      <c r="C70" s="1"/>
      <c r="D70" s="1"/>
      <c r="E70" s="1"/>
      <c r="F70" s="1"/>
    </row>
    <row r="71" spans="1:6">
      <c r="B71" s="1"/>
      <c r="C71" s="1"/>
      <c r="D71" s="1"/>
      <c r="E71" s="1"/>
      <c r="F71" s="1"/>
    </row>
    <row r="72" spans="1:6">
      <c r="A72" t="s">
        <v>58</v>
      </c>
      <c r="B72" s="1"/>
      <c r="C72" s="1">
        <v>1146375.861</v>
      </c>
      <c r="D72" s="1">
        <v>82766.899999999994</v>
      </c>
      <c r="E72" s="1">
        <v>1063608.9609999999</v>
      </c>
      <c r="F72" s="1"/>
    </row>
    <row r="73" spans="1:6">
      <c r="A73" t="s">
        <v>59</v>
      </c>
      <c r="B73" s="1"/>
      <c r="C73" s="1">
        <v>751</v>
      </c>
      <c r="D73" s="1"/>
      <c r="E73" s="1">
        <v>751</v>
      </c>
      <c r="F73" s="1"/>
    </row>
    <row r="74" spans="1:6">
      <c r="A74" t="s">
        <v>60</v>
      </c>
      <c r="B74" s="1"/>
      <c r="C74" s="1">
        <v>214322.405</v>
      </c>
      <c r="D74" s="1">
        <v>2911.1109999999999</v>
      </c>
      <c r="E74" s="1">
        <v>211411.29399999999</v>
      </c>
      <c r="F74" s="1"/>
    </row>
    <row r="75" spans="1:6">
      <c r="B75" s="1"/>
      <c r="C75" s="1"/>
      <c r="D75" s="1"/>
      <c r="E75" s="1"/>
      <c r="F75" s="1"/>
    </row>
    <row r="76" spans="1:6">
      <c r="A76" t="s">
        <v>61</v>
      </c>
      <c r="B76" s="1"/>
      <c r="C76" s="1">
        <v>43887.114000000001</v>
      </c>
      <c r="D76" s="1"/>
      <c r="E76" s="1">
        <v>43887.114000000001</v>
      </c>
      <c r="F76" s="1"/>
    </row>
    <row r="77" spans="1:6">
      <c r="B77" s="1"/>
      <c r="C77" s="1"/>
      <c r="D77" s="1"/>
      <c r="E77" s="1"/>
      <c r="F77" s="1"/>
    </row>
    <row r="78" spans="1:6">
      <c r="A78" t="s">
        <v>62</v>
      </c>
      <c r="B78" s="1"/>
      <c r="C78" s="1"/>
      <c r="D78" s="1"/>
      <c r="E78" s="1"/>
      <c r="F78" s="1"/>
    </row>
    <row r="79" spans="1:6">
      <c r="A79" t="s">
        <v>63</v>
      </c>
      <c r="B79" s="1"/>
      <c r="C79" s="1">
        <v>4608</v>
      </c>
      <c r="D79" s="1"/>
      <c r="E79" s="1">
        <v>4608</v>
      </c>
      <c r="F79" s="1"/>
    </row>
    <row r="80" spans="1:6">
      <c r="B80" s="1"/>
      <c r="C80" s="1"/>
      <c r="D80" s="1"/>
      <c r="E80" s="1"/>
      <c r="F80" s="1"/>
    </row>
    <row r="81" spans="1:6">
      <c r="A81" t="s">
        <v>64</v>
      </c>
      <c r="B81" s="1"/>
      <c r="C81" s="1">
        <v>117644.53599999999</v>
      </c>
      <c r="D81" s="1">
        <v>4475.38</v>
      </c>
      <c r="E81" s="1">
        <v>113169.156</v>
      </c>
      <c r="F81" s="1"/>
    </row>
    <row r="82" spans="1:6">
      <c r="B82" s="1"/>
      <c r="C82" s="1"/>
      <c r="D82" s="1"/>
      <c r="E82" s="1"/>
      <c r="F82" s="1"/>
    </row>
    <row r="83" spans="1:6">
      <c r="A83" t="s">
        <v>65</v>
      </c>
      <c r="B83" s="1"/>
      <c r="C83" s="1">
        <v>38714.692999999999</v>
      </c>
      <c r="D83" s="1">
        <v>2070.5889999999999</v>
      </c>
      <c r="E83" s="1">
        <v>36644.103999999999</v>
      </c>
      <c r="F83" s="1"/>
    </row>
    <row r="84" spans="1:6">
      <c r="B84" s="1"/>
      <c r="C84" s="1"/>
      <c r="D84" s="1"/>
      <c r="E84" s="1"/>
      <c r="F84" s="1"/>
    </row>
    <row r="85" spans="1:6">
      <c r="A85" t="s">
        <v>66</v>
      </c>
      <c r="B85" s="1"/>
      <c r="C85" s="1">
        <v>493250.50799999997</v>
      </c>
      <c r="D85" s="1">
        <v>29434.894</v>
      </c>
      <c r="E85" s="1">
        <v>463815.614</v>
      </c>
      <c r="F85" s="1"/>
    </row>
    <row r="86" spans="1:6">
      <c r="A86" t="s">
        <v>67</v>
      </c>
      <c r="B86" s="1"/>
      <c r="C86" s="1">
        <v>295.43200000000002</v>
      </c>
      <c r="D86" s="1"/>
      <c r="E86" s="1">
        <v>295.43200000000002</v>
      </c>
      <c r="F86" s="1"/>
    </row>
    <row r="87" spans="1:6">
      <c r="B87" s="1"/>
      <c r="C87" s="1"/>
      <c r="D87" s="1"/>
      <c r="E87" s="1"/>
      <c r="F87" s="1"/>
    </row>
    <row r="88" spans="1:6">
      <c r="A88" t="s">
        <v>68</v>
      </c>
      <c r="B88" s="1"/>
      <c r="C88" s="1">
        <v>2059849.5490000001</v>
      </c>
      <c r="D88" s="1">
        <v>121658.874</v>
      </c>
      <c r="E88" s="1">
        <v>1938190.675</v>
      </c>
      <c r="F88" s="1"/>
    </row>
    <row r="89" spans="1:6">
      <c r="B89" s="1"/>
      <c r="C89" s="1"/>
      <c r="D89" s="1"/>
      <c r="E89" s="1"/>
      <c r="F89" s="1"/>
    </row>
    <row r="90" spans="1:6">
      <c r="A90" t="s">
        <v>69</v>
      </c>
      <c r="B90" s="1"/>
      <c r="C90" s="1"/>
      <c r="D90" s="1"/>
      <c r="E90" s="1"/>
      <c r="F90" s="1"/>
    </row>
    <row r="91" spans="1:6">
      <c r="B91" s="1"/>
      <c r="C91" s="1"/>
      <c r="D91" s="1"/>
      <c r="E91" s="1"/>
      <c r="F91" s="1"/>
    </row>
    <row r="92" spans="1:6">
      <c r="A92" t="s">
        <v>70</v>
      </c>
      <c r="B92" s="1"/>
      <c r="C92" s="1">
        <v>52341.091</v>
      </c>
      <c r="D92" s="1"/>
      <c r="E92" s="1">
        <v>52341.091</v>
      </c>
      <c r="F92" s="1"/>
    </row>
    <row r="93" spans="1:6">
      <c r="B93" s="1"/>
      <c r="C93" s="1"/>
      <c r="D93" s="1"/>
      <c r="E93" s="1"/>
      <c r="F93" s="1"/>
    </row>
    <row r="94" spans="1:6">
      <c r="A94" t="s">
        <v>71</v>
      </c>
      <c r="B94" s="1"/>
      <c r="C94" s="1">
        <v>58166.843000000001</v>
      </c>
      <c r="D94" s="1"/>
      <c r="E94" s="1">
        <v>58166.843000000001</v>
      </c>
      <c r="F94" s="1"/>
    </row>
    <row r="95" spans="1:6">
      <c r="B95" s="1"/>
      <c r="C95" s="1"/>
      <c r="D95" s="1"/>
      <c r="E95" s="1"/>
      <c r="F95" s="1"/>
    </row>
    <row r="96" spans="1:6">
      <c r="A96" t="s">
        <v>72</v>
      </c>
      <c r="B96" s="1"/>
      <c r="C96" s="1"/>
      <c r="D96" s="1"/>
      <c r="E96" s="1"/>
      <c r="F96" s="1"/>
    </row>
    <row r="97" spans="1:6">
      <c r="B97" s="1"/>
      <c r="C97" s="1"/>
      <c r="D97" s="1"/>
      <c r="E97" s="1"/>
      <c r="F97" s="1"/>
    </row>
    <row r="98" spans="1:6">
      <c r="A98" t="s">
        <v>73</v>
      </c>
      <c r="B98" s="1"/>
      <c r="C98" s="1">
        <v>110507.93399999999</v>
      </c>
      <c r="D98" s="1"/>
      <c r="E98" s="1">
        <v>110507.93399999999</v>
      </c>
      <c r="F98" s="1"/>
    </row>
    <row r="99" spans="1:6">
      <c r="B99" s="1"/>
      <c r="C99" s="1"/>
      <c r="D99" s="1"/>
      <c r="E99" s="1"/>
      <c r="F99" s="1"/>
    </row>
    <row r="100" spans="1:6">
      <c r="A100" t="s">
        <v>74</v>
      </c>
      <c r="B100" s="1"/>
      <c r="C100" s="1"/>
      <c r="D100" s="1"/>
      <c r="E100" s="1"/>
      <c r="F100" s="1"/>
    </row>
    <row r="101" spans="1:6">
      <c r="B101" s="1"/>
      <c r="C101" s="1"/>
      <c r="D101" s="1"/>
      <c r="E101" s="1"/>
      <c r="F101" s="1"/>
    </row>
    <row r="102" spans="1:6">
      <c r="A102" t="s">
        <v>75</v>
      </c>
      <c r="B102" s="1"/>
      <c r="C102" s="1">
        <v>4218311.9380000001</v>
      </c>
      <c r="D102" s="1"/>
      <c r="E102" s="1">
        <v>4218311.9380000001</v>
      </c>
      <c r="F102" s="1"/>
    </row>
    <row r="103" spans="1:6">
      <c r="B103" s="1"/>
      <c r="C103" s="1"/>
      <c r="D103" s="1"/>
      <c r="E103" s="1"/>
      <c r="F103" s="1"/>
    </row>
    <row r="104" spans="1:6">
      <c r="A104" t="s">
        <v>76</v>
      </c>
      <c r="B104" s="1"/>
      <c r="C104" s="1">
        <v>45753.269</v>
      </c>
      <c r="D104" s="1">
        <v>15308.056</v>
      </c>
      <c r="E104" s="1">
        <v>30445.213</v>
      </c>
      <c r="F104" s="1"/>
    </row>
    <row r="105" spans="1:6">
      <c r="B105" s="1"/>
      <c r="C105" s="1"/>
      <c r="D105" s="1"/>
      <c r="E105" s="1"/>
      <c r="F105" s="1"/>
    </row>
    <row r="106" spans="1:6">
      <c r="A106" t="s">
        <v>77</v>
      </c>
      <c r="B106" s="1"/>
      <c r="C106" s="1">
        <v>4264065.2070000004</v>
      </c>
      <c r="D106" s="1">
        <v>15308.056</v>
      </c>
      <c r="E106" s="1">
        <v>4248757.1509999996</v>
      </c>
      <c r="F106" s="1"/>
    </row>
    <row r="107" spans="1:6">
      <c r="B107" s="1"/>
      <c r="C107" s="1"/>
      <c r="D107" s="1"/>
      <c r="E107" s="1"/>
      <c r="F107" s="1"/>
    </row>
    <row r="108" spans="1:6">
      <c r="A108" t="s">
        <v>78</v>
      </c>
      <c r="B108" s="1"/>
      <c r="C108" s="1"/>
      <c r="D108" s="1"/>
      <c r="E108" s="1"/>
      <c r="F108" s="1"/>
    </row>
    <row r="109" spans="1:6">
      <c r="B109" s="1"/>
      <c r="C109" s="1"/>
      <c r="D109" s="1"/>
      <c r="E109" s="1"/>
      <c r="F109" s="1"/>
    </row>
    <row r="110" spans="1:6">
      <c r="A110" t="s">
        <v>79</v>
      </c>
      <c r="B110" s="1"/>
      <c r="C110" s="1">
        <v>163853.29999999999</v>
      </c>
      <c r="D110" s="1">
        <v>14304.132</v>
      </c>
      <c r="E110" s="1">
        <v>149549.16800000001</v>
      </c>
      <c r="F110" s="1"/>
    </row>
    <row r="111" spans="1:6">
      <c r="B111" s="1"/>
      <c r="C111" s="1"/>
      <c r="D111" s="1"/>
      <c r="E111" s="1"/>
      <c r="F111" s="1"/>
    </row>
    <row r="112" spans="1:6">
      <c r="A112" t="s">
        <v>80</v>
      </c>
      <c r="B112" s="1"/>
      <c r="C112" s="1">
        <v>7864621.9299999997</v>
      </c>
      <c r="D112" s="1">
        <v>623379.77399999998</v>
      </c>
      <c r="E112" s="1">
        <v>7241242.1560000004</v>
      </c>
      <c r="F112" s="1"/>
    </row>
    <row r="113" spans="1:6">
      <c r="A113" t="s">
        <v>81</v>
      </c>
      <c r="B113" s="1"/>
      <c r="C113" s="1">
        <v>4502.884</v>
      </c>
      <c r="D113" s="1">
        <v>4370.8429999999998</v>
      </c>
      <c r="E113" s="1">
        <v>132.041</v>
      </c>
      <c r="F113" s="1"/>
    </row>
    <row r="114" spans="1:6">
      <c r="A114" t="s">
        <v>82</v>
      </c>
      <c r="B114" s="1"/>
      <c r="C114" s="1">
        <v>7441.9440000000004</v>
      </c>
      <c r="D114" s="1"/>
      <c r="E114" s="1">
        <v>7441.9440000000004</v>
      </c>
      <c r="F114" s="1"/>
    </row>
    <row r="115" spans="1:6">
      <c r="A115" t="s">
        <v>83</v>
      </c>
      <c r="B115" s="1"/>
      <c r="C115" s="1">
        <v>17493.477999999999</v>
      </c>
      <c r="D115" s="1"/>
      <c r="E115" s="1">
        <v>17493.477999999999</v>
      </c>
      <c r="F115" s="1"/>
    </row>
    <row r="116" spans="1:6">
      <c r="B116" s="1"/>
      <c r="C116" s="1"/>
      <c r="D116" s="1"/>
      <c r="E116" s="1"/>
      <c r="F116" s="1"/>
    </row>
    <row r="117" spans="1:6">
      <c r="A117" t="s">
        <v>84</v>
      </c>
      <c r="B117" s="1"/>
      <c r="C117" s="1">
        <v>29383.716</v>
      </c>
      <c r="D117" s="1">
        <v>845.5</v>
      </c>
      <c r="E117" s="1">
        <v>28538.216</v>
      </c>
      <c r="F117" s="1"/>
    </row>
    <row r="118" spans="1:6">
      <c r="B118" s="1"/>
      <c r="C118" s="1"/>
      <c r="D118" s="1"/>
      <c r="E118" s="1"/>
      <c r="F118" s="1"/>
    </row>
    <row r="119" spans="1:6">
      <c r="A119" t="s">
        <v>85</v>
      </c>
      <c r="B119" s="1"/>
      <c r="C119" s="1">
        <v>12592.949000000001</v>
      </c>
      <c r="D119" s="1"/>
      <c r="E119" s="1">
        <v>12592.949000000001</v>
      </c>
      <c r="F119" s="1"/>
    </row>
    <row r="120" spans="1:6">
      <c r="B120" s="1"/>
      <c r="C120" s="1"/>
      <c r="D120" s="1"/>
      <c r="E120" s="1"/>
      <c r="F120" s="1"/>
    </row>
    <row r="121" spans="1:6">
      <c r="A121" t="s">
        <v>86</v>
      </c>
      <c r="B121" s="1"/>
      <c r="C121" s="1">
        <v>8099890.2010000004</v>
      </c>
      <c r="D121" s="1">
        <v>642900.24899999995</v>
      </c>
      <c r="E121" s="1">
        <v>7456989.9519999996</v>
      </c>
      <c r="F121" s="1"/>
    </row>
    <row r="122" spans="1:6">
      <c r="B122" s="1"/>
      <c r="C122" s="1"/>
      <c r="D122" s="1"/>
      <c r="E122" s="1"/>
      <c r="F122" s="1"/>
    </row>
    <row r="123" spans="1:6">
      <c r="A123" t="s">
        <v>87</v>
      </c>
      <c r="B123" s="1"/>
      <c r="C123" s="1"/>
      <c r="D123" s="1"/>
      <c r="E123" s="1"/>
      <c r="F123" s="1"/>
    </row>
    <row r="124" spans="1:6">
      <c r="B124" s="1"/>
      <c r="C124" s="1"/>
      <c r="D124" s="1"/>
      <c r="E124" s="1"/>
      <c r="F124" s="1"/>
    </row>
    <row r="125" spans="1:6">
      <c r="A125" t="s">
        <v>88</v>
      </c>
      <c r="B125" s="1"/>
      <c r="C125" s="1">
        <v>170004.49100000001</v>
      </c>
      <c r="D125" s="1">
        <v>98329.985000000001</v>
      </c>
      <c r="E125" s="1">
        <v>71674.505999999994</v>
      </c>
      <c r="F125" s="1"/>
    </row>
    <row r="126" spans="1:6">
      <c r="A126" t="s">
        <v>89</v>
      </c>
      <c r="B126" s="1"/>
      <c r="C126" s="1">
        <v>35837.159</v>
      </c>
      <c r="D126" s="1"/>
      <c r="E126" s="1">
        <v>35837.159</v>
      </c>
      <c r="F126" s="1"/>
    </row>
    <row r="127" spans="1:6">
      <c r="B127" s="1"/>
      <c r="C127" s="1"/>
      <c r="D127" s="1"/>
      <c r="E127" s="1"/>
      <c r="F127" s="1"/>
    </row>
    <row r="128" spans="1:6">
      <c r="A128" t="s">
        <v>90</v>
      </c>
      <c r="B128" s="1"/>
      <c r="C128" s="1"/>
      <c r="D128" s="1"/>
      <c r="E128" s="1"/>
      <c r="F128" s="1"/>
    </row>
    <row r="129" spans="1:6">
      <c r="B129" s="1"/>
      <c r="C129" s="1"/>
      <c r="D129" s="1"/>
      <c r="E129" s="1"/>
      <c r="F129" s="1"/>
    </row>
    <row r="130" spans="1:6">
      <c r="A130" t="s">
        <v>91</v>
      </c>
      <c r="B130" s="1"/>
      <c r="C130" s="1">
        <v>15294.168</v>
      </c>
      <c r="D130" s="1">
        <v>127.533</v>
      </c>
      <c r="E130" s="1">
        <v>15166.635</v>
      </c>
      <c r="F130" s="1"/>
    </row>
    <row r="131" spans="1:6">
      <c r="A131" t="s">
        <v>92</v>
      </c>
      <c r="B131" s="1"/>
      <c r="C131" s="1">
        <v>1857201.8940000001</v>
      </c>
      <c r="D131" s="1"/>
      <c r="E131" s="1">
        <v>1857201.8940000001</v>
      </c>
      <c r="F131" s="1"/>
    </row>
    <row r="132" spans="1:6">
      <c r="A132" t="s">
        <v>93</v>
      </c>
      <c r="B132" s="1"/>
      <c r="C132" s="1">
        <v>1903.0060000000001</v>
      </c>
      <c r="D132" s="1">
        <v>33.000999999999998</v>
      </c>
      <c r="E132" s="1">
        <v>1870.0050000000001</v>
      </c>
      <c r="F132" s="1"/>
    </row>
    <row r="133" spans="1:6">
      <c r="B133" s="1"/>
      <c r="C133" s="1"/>
      <c r="D133" s="1"/>
      <c r="E133" s="1"/>
      <c r="F133" s="1"/>
    </row>
    <row r="134" spans="1:6">
      <c r="A134" t="s">
        <v>94</v>
      </c>
      <c r="B134" s="1"/>
      <c r="C134" s="1">
        <v>2080240.7180000001</v>
      </c>
      <c r="D134" s="1">
        <v>98490.519</v>
      </c>
      <c r="E134" s="1">
        <v>1981750.199</v>
      </c>
      <c r="F134" s="1"/>
    </row>
    <row r="135" spans="1:6">
      <c r="B135" s="1"/>
      <c r="C135" s="1"/>
      <c r="D135" s="1"/>
      <c r="E135" s="1"/>
      <c r="F135" s="1"/>
    </row>
    <row r="136" spans="1:6">
      <c r="A136" t="s">
        <v>95</v>
      </c>
      <c r="B136" s="1"/>
      <c r="C136" s="1"/>
      <c r="D136" s="1"/>
      <c r="E136" s="1"/>
      <c r="F136" s="1"/>
    </row>
    <row r="137" spans="1:6">
      <c r="B137" s="1"/>
      <c r="C137" s="1"/>
      <c r="D137" s="1"/>
      <c r="E137" s="1"/>
      <c r="F137" s="1"/>
    </row>
    <row r="138" spans="1:6">
      <c r="A138" t="s">
        <v>96</v>
      </c>
      <c r="B138" s="1"/>
      <c r="C138" s="1">
        <v>6954652.5060000001</v>
      </c>
      <c r="D138" s="1"/>
      <c r="E138" s="1">
        <v>6954652.5060000001</v>
      </c>
      <c r="F138" s="1"/>
    </row>
    <row r="139" spans="1:6">
      <c r="B139" s="1"/>
      <c r="C139" s="1"/>
      <c r="D139" s="1"/>
      <c r="E139" s="1"/>
      <c r="F139" s="1"/>
    </row>
    <row r="140" spans="1:6">
      <c r="A140" t="s">
        <v>97</v>
      </c>
      <c r="B140" s="1"/>
      <c r="C140" s="1">
        <v>6954652.5060000001</v>
      </c>
      <c r="D140" s="1"/>
      <c r="E140" s="1">
        <v>6954652.5060000001</v>
      </c>
      <c r="F140" s="1"/>
    </row>
    <row r="141" spans="1:6">
      <c r="B141" s="1"/>
      <c r="C141" s="1"/>
      <c r="D141" s="1"/>
      <c r="E141" s="1"/>
      <c r="F141" s="1"/>
    </row>
    <row r="142" spans="1:6">
      <c r="A142" t="s">
        <v>98</v>
      </c>
      <c r="B142" s="1"/>
      <c r="C142" s="1"/>
      <c r="D142" s="1"/>
      <c r="E142" s="1"/>
      <c r="F142" s="1"/>
    </row>
    <row r="143" spans="1:6">
      <c r="B143" s="1"/>
      <c r="C143" s="1"/>
      <c r="D143" s="1"/>
      <c r="E143" s="1"/>
      <c r="F143" s="1"/>
    </row>
    <row r="144" spans="1:6">
      <c r="A144" t="s">
        <v>99</v>
      </c>
      <c r="B144" s="1"/>
      <c r="C144" s="1">
        <v>151318.17000000001</v>
      </c>
      <c r="D144" s="1"/>
      <c r="E144" s="1">
        <v>151318.17000000001</v>
      </c>
      <c r="F144" s="1"/>
    </row>
    <row r="145" spans="1:6">
      <c r="B145" s="1"/>
      <c r="C145" s="1"/>
      <c r="D145" s="1"/>
      <c r="E145" s="1"/>
      <c r="F145" s="1"/>
    </row>
    <row r="146" spans="1:6">
      <c r="A146" t="s">
        <v>100</v>
      </c>
      <c r="B146" s="1"/>
      <c r="C146" s="1">
        <v>151318.17000000001</v>
      </c>
      <c r="D146" s="1"/>
      <c r="E146" s="1">
        <v>151318.17000000001</v>
      </c>
      <c r="F146" s="1"/>
    </row>
    <row r="147" spans="1:6">
      <c r="B147" s="1"/>
      <c r="C147" s="1"/>
      <c r="D147" s="1"/>
      <c r="E147" s="1"/>
      <c r="F147" s="1"/>
    </row>
    <row r="148" spans="1:6">
      <c r="A148" t="s">
        <v>101</v>
      </c>
      <c r="B148" s="1"/>
      <c r="C148" s="1">
        <v>36705667.844999999</v>
      </c>
      <c r="D148" s="1">
        <v>1328225.97</v>
      </c>
      <c r="E148" s="1">
        <v>35377441.875</v>
      </c>
      <c r="F148" s="1"/>
    </row>
    <row r="149" spans="1:6">
      <c r="B149" s="1"/>
      <c r="C149" s="1"/>
      <c r="D149" s="1"/>
      <c r="E149" s="1"/>
      <c r="F149" s="1"/>
    </row>
    <row r="150" spans="1:6">
      <c r="A150" t="s">
        <v>102</v>
      </c>
      <c r="B150" s="1"/>
      <c r="C150" s="1"/>
      <c r="D150" s="1"/>
      <c r="E150" s="1"/>
      <c r="F150" s="1"/>
    </row>
    <row r="151" spans="1:6">
      <c r="B151" s="1"/>
      <c r="C151" s="1"/>
      <c r="D151" s="1"/>
      <c r="E151" s="1"/>
      <c r="F151" s="1"/>
    </row>
    <row r="152" spans="1:6">
      <c r="A152" t="s">
        <v>103</v>
      </c>
      <c r="B152" s="1"/>
      <c r="C152" s="1"/>
      <c r="D152" s="1"/>
      <c r="E152" s="1"/>
      <c r="F152" s="1"/>
    </row>
    <row r="153" spans="1:6">
      <c r="B153" s="1"/>
      <c r="C153" s="1"/>
      <c r="D153" s="1"/>
      <c r="E153" s="1"/>
      <c r="F153" s="1"/>
    </row>
    <row r="154" spans="1:6">
      <c r="A154" t="s">
        <v>104</v>
      </c>
      <c r="B154" s="1"/>
      <c r="C154" s="1"/>
      <c r="D154" s="1">
        <v>277825.79100000003</v>
      </c>
      <c r="E154" s="1"/>
      <c r="F154" s="1">
        <v>277825.79100000003</v>
      </c>
    </row>
    <row r="155" spans="1:6">
      <c r="A155" t="s">
        <v>105</v>
      </c>
      <c r="B155" s="1"/>
      <c r="C155" s="1">
        <v>16.056000000000001</v>
      </c>
      <c r="D155" s="1">
        <v>26545674.93</v>
      </c>
      <c r="E155" s="1"/>
      <c r="F155" s="1">
        <v>26545658.874000002</v>
      </c>
    </row>
    <row r="156" spans="1:6">
      <c r="A156" t="s">
        <v>106</v>
      </c>
      <c r="B156" s="1"/>
      <c r="C156" s="1"/>
      <c r="D156" s="1">
        <v>412675.74200000003</v>
      </c>
      <c r="E156" s="1"/>
      <c r="F156" s="1">
        <v>412675.74200000003</v>
      </c>
    </row>
    <row r="157" spans="1:6">
      <c r="A157" t="s">
        <v>107</v>
      </c>
      <c r="B157" s="1"/>
      <c r="C157" s="1"/>
      <c r="D157" s="1">
        <v>21.283000000000001</v>
      </c>
      <c r="E157" s="1"/>
      <c r="F157" s="1">
        <v>21.283000000000001</v>
      </c>
    </row>
    <row r="158" spans="1:6">
      <c r="A158" t="s">
        <v>108</v>
      </c>
      <c r="B158" s="1"/>
      <c r="C158" s="1"/>
      <c r="D158" s="1">
        <v>9401.18</v>
      </c>
      <c r="E158" s="1"/>
      <c r="F158" s="1">
        <v>9401.18</v>
      </c>
    </row>
    <row r="159" spans="1:6">
      <c r="A159" t="s">
        <v>109</v>
      </c>
      <c r="B159" s="1"/>
      <c r="C159" s="1"/>
      <c r="D159" s="1">
        <v>2533.076</v>
      </c>
      <c r="E159" s="1"/>
      <c r="F159" s="1">
        <v>2533.076</v>
      </c>
    </row>
    <row r="160" spans="1:6">
      <c r="A160" t="s">
        <v>110</v>
      </c>
      <c r="B160" s="1"/>
      <c r="C160" s="1"/>
      <c r="D160" s="1">
        <v>18316.830999999998</v>
      </c>
      <c r="E160" s="1"/>
      <c r="F160" s="1">
        <v>18316.830999999998</v>
      </c>
    </row>
    <row r="161" spans="1:6">
      <c r="A161" t="s">
        <v>111</v>
      </c>
      <c r="B161" s="1"/>
      <c r="C161" s="1">
        <v>155.08500000000001</v>
      </c>
      <c r="D161" s="1">
        <v>39401.853000000003</v>
      </c>
      <c r="E161" s="1"/>
      <c r="F161" s="1">
        <v>39246.767999999996</v>
      </c>
    </row>
    <row r="162" spans="1:6">
      <c r="A162" t="s">
        <v>112</v>
      </c>
      <c r="B162" s="1"/>
      <c r="C162" s="1">
        <v>100650.17200000001</v>
      </c>
      <c r="D162" s="1">
        <v>138.79900000000001</v>
      </c>
      <c r="E162" s="1">
        <v>100511.37300000001</v>
      </c>
      <c r="F162" s="1"/>
    </row>
    <row r="163" spans="1:6">
      <c r="B163" s="1"/>
      <c r="C163" s="1"/>
      <c r="D163" s="1"/>
      <c r="E163" s="1"/>
      <c r="F163" s="1"/>
    </row>
    <row r="164" spans="1:6">
      <c r="A164" t="s">
        <v>113</v>
      </c>
      <c r="B164" s="1"/>
      <c r="C164" s="1">
        <v>16.062999999999999</v>
      </c>
      <c r="D164" s="1">
        <v>16.062999999999999</v>
      </c>
      <c r="E164" s="1"/>
      <c r="F164" s="1"/>
    </row>
    <row r="165" spans="1:6">
      <c r="B165" s="1"/>
      <c r="C165" s="1"/>
      <c r="D165" s="1"/>
      <c r="E165" s="1"/>
      <c r="F165" s="1"/>
    </row>
    <row r="166" spans="1:6">
      <c r="A166" t="s">
        <v>114</v>
      </c>
      <c r="B166" s="1"/>
      <c r="C166" s="1">
        <v>100837.376</v>
      </c>
      <c r="D166" s="1">
        <v>27306005.548</v>
      </c>
      <c r="E166" s="1"/>
      <c r="F166" s="1">
        <v>27205168.171999998</v>
      </c>
    </row>
    <row r="167" spans="1:6">
      <c r="B167" s="1"/>
      <c r="C167" s="1"/>
      <c r="D167" s="1"/>
      <c r="E167" s="1"/>
      <c r="F167" s="1"/>
    </row>
    <row r="168" spans="1:6">
      <c r="A168" t="s">
        <v>115</v>
      </c>
      <c r="B168" s="1"/>
      <c r="C168" s="1"/>
      <c r="D168" s="1"/>
      <c r="E168" s="1"/>
      <c r="F168" s="1"/>
    </row>
    <row r="169" spans="1:6">
      <c r="B169" s="1"/>
      <c r="C169" s="1"/>
      <c r="D169" s="1"/>
      <c r="E169" s="1"/>
      <c r="F169" s="1"/>
    </row>
    <row r="170" spans="1:6">
      <c r="A170" t="s">
        <v>116</v>
      </c>
      <c r="B170" s="1"/>
      <c r="C170" s="1">
        <v>10060.815000000001</v>
      </c>
      <c r="D170" s="1">
        <v>10060.815000000001</v>
      </c>
      <c r="E170" s="1"/>
      <c r="F170" s="1"/>
    </row>
    <row r="171" spans="1:6">
      <c r="A171" t="s">
        <v>117</v>
      </c>
      <c r="B171" s="1"/>
      <c r="C171" s="1"/>
      <c r="D171" s="1">
        <v>11272.058999999999</v>
      </c>
      <c r="E171" s="1"/>
      <c r="F171" s="1">
        <v>11272.058999999999</v>
      </c>
    </row>
    <row r="172" spans="1:6">
      <c r="A172" t="s">
        <v>118</v>
      </c>
      <c r="B172" s="1"/>
      <c r="C172" s="1">
        <v>14959.306</v>
      </c>
      <c r="D172" s="1">
        <v>80773.403000000006</v>
      </c>
      <c r="E172" s="1"/>
      <c r="F172" s="1">
        <v>65814.096999999994</v>
      </c>
    </row>
    <row r="173" spans="1:6">
      <c r="A173" t="s">
        <v>119</v>
      </c>
      <c r="B173" s="1"/>
      <c r="C173" s="1"/>
      <c r="D173" s="1">
        <v>6000</v>
      </c>
      <c r="E173" s="1"/>
      <c r="F173" s="1">
        <v>6000</v>
      </c>
    </row>
    <row r="174" spans="1:6">
      <c r="B174" s="1"/>
      <c r="C174" s="1"/>
      <c r="D174" s="1"/>
      <c r="E174" s="1"/>
      <c r="F174" s="1"/>
    </row>
    <row r="175" spans="1:6">
      <c r="A175" t="s">
        <v>120</v>
      </c>
      <c r="B175" s="1"/>
      <c r="C175" s="1">
        <v>123795.61199999999</v>
      </c>
      <c r="D175" s="1">
        <v>469410.13</v>
      </c>
      <c r="E175" s="1"/>
      <c r="F175" s="1">
        <v>345614.51799999998</v>
      </c>
    </row>
    <row r="176" spans="1:6">
      <c r="B176" s="1"/>
      <c r="C176" s="1"/>
      <c r="D176" s="1"/>
      <c r="E176" s="1"/>
      <c r="F176" s="1"/>
    </row>
    <row r="177" spans="1:6">
      <c r="A177" t="s">
        <v>121</v>
      </c>
      <c r="B177" s="1"/>
      <c r="C177" s="1">
        <v>148815.73300000001</v>
      </c>
      <c r="D177" s="1">
        <v>577516.40700000001</v>
      </c>
      <c r="E177" s="1"/>
      <c r="F177" s="1">
        <v>428700.674</v>
      </c>
    </row>
    <row r="178" spans="1:6">
      <c r="B178" s="1"/>
      <c r="C178" s="1"/>
      <c r="D178" s="1"/>
      <c r="E178" s="1"/>
      <c r="F178" s="1"/>
    </row>
    <row r="179" spans="1:6">
      <c r="A179" t="s">
        <v>122</v>
      </c>
      <c r="B179" s="1"/>
      <c r="C179" s="1"/>
      <c r="D179" s="1"/>
      <c r="E179" s="1"/>
      <c r="F179" s="1"/>
    </row>
    <row r="180" spans="1:6">
      <c r="B180" s="1"/>
      <c r="C180" s="1"/>
      <c r="D180" s="1"/>
      <c r="E180" s="1"/>
      <c r="F180" s="1"/>
    </row>
    <row r="181" spans="1:6">
      <c r="A181" t="s">
        <v>123</v>
      </c>
      <c r="B181" s="1"/>
      <c r="C181" s="1">
        <v>4800</v>
      </c>
      <c r="D181" s="1">
        <v>4278.8159999999998</v>
      </c>
      <c r="E181" s="1">
        <v>521.18399999999997</v>
      </c>
      <c r="F181" s="1"/>
    </row>
    <row r="182" spans="1:6">
      <c r="A182" t="s">
        <v>124</v>
      </c>
      <c r="B182" s="1"/>
      <c r="C182" s="1">
        <v>405740.66</v>
      </c>
      <c r="D182" s="1">
        <v>124130.321</v>
      </c>
      <c r="E182" s="1">
        <v>281610.33899999998</v>
      </c>
      <c r="F182" s="1"/>
    </row>
    <row r="183" spans="1:6">
      <c r="A183" t="s">
        <v>125</v>
      </c>
      <c r="B183" s="1"/>
      <c r="C183" s="1">
        <v>3461.0810000000001</v>
      </c>
      <c r="D183" s="1">
        <v>95806.665999999997</v>
      </c>
      <c r="E183" s="1"/>
      <c r="F183" s="1">
        <v>92345.585000000006</v>
      </c>
    </row>
    <row r="184" spans="1:6">
      <c r="B184" s="1"/>
      <c r="C184" s="1"/>
      <c r="D184" s="1"/>
      <c r="E184" s="1"/>
      <c r="F184" s="1"/>
    </row>
    <row r="185" spans="1:6">
      <c r="A185" t="s">
        <v>126</v>
      </c>
      <c r="B185" s="1"/>
      <c r="C185" s="1">
        <v>414001.74099999998</v>
      </c>
      <c r="D185" s="1">
        <v>224215.80300000001</v>
      </c>
      <c r="E185" s="1">
        <v>189785.93799999999</v>
      </c>
      <c r="F185" s="1"/>
    </row>
    <row r="186" spans="1:6">
      <c r="B186" s="1"/>
      <c r="C186" s="1"/>
      <c r="D186" s="1"/>
      <c r="E186" s="1"/>
      <c r="F186" s="1"/>
    </row>
    <row r="187" spans="1:6">
      <c r="A187" t="s">
        <v>127</v>
      </c>
      <c r="B187" s="1"/>
      <c r="C187" s="1"/>
      <c r="D187" s="1"/>
      <c r="E187" s="1"/>
      <c r="F187" s="1"/>
    </row>
    <row r="188" spans="1:6">
      <c r="B188" s="1"/>
      <c r="C188" s="1"/>
      <c r="D188" s="1"/>
      <c r="E188" s="1"/>
      <c r="F188" s="1"/>
    </row>
    <row r="189" spans="1:6">
      <c r="A189" t="s">
        <v>128</v>
      </c>
      <c r="B189" s="1"/>
      <c r="C189" s="1"/>
      <c r="D189" s="1">
        <v>261196.17600000001</v>
      </c>
      <c r="E189" s="1"/>
      <c r="F189" s="1">
        <v>261196.17600000001</v>
      </c>
    </row>
    <row r="190" spans="1:6">
      <c r="B190" s="1"/>
      <c r="C190" s="1"/>
      <c r="D190" s="1"/>
      <c r="E190" s="1"/>
      <c r="F190" s="1"/>
    </row>
    <row r="191" spans="1:6">
      <c r="B191" s="1"/>
      <c r="C191" s="1"/>
      <c r="D191" s="1"/>
      <c r="E191" s="1"/>
      <c r="F191" s="1"/>
    </row>
    <row r="192" spans="1:6">
      <c r="A192" t="s">
        <v>129</v>
      </c>
      <c r="B192" s="1"/>
      <c r="C192" s="1"/>
      <c r="D192" s="1">
        <v>261196.17600000001</v>
      </c>
      <c r="E192" s="1"/>
      <c r="F192" s="1">
        <v>261196.17600000001</v>
      </c>
    </row>
    <row r="193" spans="1:6">
      <c r="B193" s="1"/>
      <c r="C193" s="1"/>
      <c r="D193" s="1"/>
      <c r="E193" s="1"/>
      <c r="F193" s="1"/>
    </row>
    <row r="194" spans="1:6">
      <c r="B194" s="1"/>
      <c r="C194" s="1"/>
      <c r="D194" s="1"/>
      <c r="E194" s="1"/>
      <c r="F194" s="1"/>
    </row>
    <row r="195" spans="1:6">
      <c r="B195" s="1"/>
      <c r="C195" s="1"/>
      <c r="D195" s="1"/>
      <c r="E195" s="1"/>
      <c r="F195" s="1"/>
    </row>
    <row r="196" spans="1:6">
      <c r="A196" t="s">
        <v>130</v>
      </c>
      <c r="B196" s="1"/>
      <c r="C196" s="1"/>
      <c r="D196" s="1">
        <v>261196.17600000001</v>
      </c>
      <c r="E196" s="1"/>
      <c r="F196" s="1">
        <v>261196.17600000001</v>
      </c>
    </row>
    <row r="197" spans="1:6">
      <c r="B197" s="1"/>
      <c r="C197" s="1"/>
      <c r="D197" s="1"/>
      <c r="E197" s="1"/>
      <c r="F197" s="1"/>
    </row>
    <row r="198" spans="1:6">
      <c r="B198" s="1"/>
      <c r="C198" s="1"/>
      <c r="D198" s="1"/>
      <c r="E198" s="1"/>
      <c r="F198" s="1"/>
    </row>
    <row r="199" spans="1:6">
      <c r="B199" s="1"/>
      <c r="C199" s="1"/>
      <c r="D199" s="1"/>
      <c r="E199" s="1"/>
      <c r="F199" s="1"/>
    </row>
    <row r="200" spans="1:6">
      <c r="A200" t="s">
        <v>131</v>
      </c>
      <c r="B200" s="1"/>
      <c r="C200" s="1"/>
      <c r="D200" s="1">
        <v>261196.17600000001</v>
      </c>
      <c r="E200" s="1"/>
      <c r="F200" s="1">
        <v>261196.17600000001</v>
      </c>
    </row>
    <row r="201" spans="1:6">
      <c r="B201" s="1"/>
      <c r="C201" s="1"/>
      <c r="D201" s="1"/>
      <c r="E201" s="1"/>
      <c r="F201" s="1"/>
    </row>
    <row r="202" spans="1:6">
      <c r="B202" s="1"/>
      <c r="C202" s="1"/>
      <c r="D202" s="1"/>
      <c r="E202" s="1"/>
      <c r="F202" s="1"/>
    </row>
    <row r="203" spans="1:6">
      <c r="B203" s="1"/>
      <c r="C203" s="1"/>
      <c r="D203" s="1"/>
      <c r="E203" s="1"/>
      <c r="F203" s="1"/>
    </row>
    <row r="204" spans="1:6">
      <c r="A204" t="s">
        <v>132</v>
      </c>
      <c r="B204" s="1"/>
      <c r="C204" s="1"/>
      <c r="D204" s="1">
        <v>261196.17600000001</v>
      </c>
      <c r="E204" s="1"/>
      <c r="F204" s="1">
        <v>261196.17600000001</v>
      </c>
    </row>
    <row r="205" spans="1:6">
      <c r="B205" s="1"/>
      <c r="C205" s="1"/>
      <c r="D205" s="1"/>
      <c r="E205" s="1"/>
      <c r="F205" s="1"/>
    </row>
    <row r="206" spans="1:6">
      <c r="B206" s="1"/>
      <c r="C206" s="1"/>
      <c r="D206" s="1"/>
      <c r="E206" s="1"/>
      <c r="F206" s="1"/>
    </row>
    <row r="207" spans="1:6">
      <c r="B207" s="1"/>
      <c r="C207" s="1"/>
      <c r="D207" s="1"/>
      <c r="E207" s="1"/>
      <c r="F207" s="1"/>
    </row>
    <row r="208" spans="1:6">
      <c r="A208" t="s">
        <v>133</v>
      </c>
      <c r="B208" s="1"/>
      <c r="C208" s="1">
        <v>663654.85</v>
      </c>
      <c r="D208" s="1">
        <v>28368933.934</v>
      </c>
      <c r="E208" s="1"/>
      <c r="F208" s="1">
        <v>27705279.083999999</v>
      </c>
    </row>
    <row r="209" spans="1:6">
      <c r="B209" s="1"/>
      <c r="C209" s="1"/>
      <c r="D209" s="1"/>
      <c r="E209" s="1"/>
      <c r="F209" s="1"/>
    </row>
    <row r="210" spans="1:6">
      <c r="B210" s="1"/>
      <c r="C210" s="1"/>
      <c r="D210" s="1"/>
      <c r="E210" s="1"/>
      <c r="F210" s="1"/>
    </row>
    <row r="211" spans="1:6">
      <c r="B211" s="1"/>
      <c r="C211" s="1"/>
      <c r="D211" s="1"/>
      <c r="E211" s="1"/>
      <c r="F211" s="1"/>
    </row>
    <row r="212" spans="1:6">
      <c r="A212" t="s">
        <v>134</v>
      </c>
      <c r="B212" s="1"/>
      <c r="C212" s="1">
        <v>37369322.695</v>
      </c>
      <c r="D212" s="1">
        <v>29697159.903999999</v>
      </c>
      <c r="E212" s="1">
        <v>7672162.7910000002</v>
      </c>
      <c r="F212" s="1"/>
    </row>
    <row r="213" spans="1:6">
      <c r="B213" s="1"/>
      <c r="C213" s="1"/>
      <c r="D213" s="1"/>
      <c r="E213" s="1"/>
      <c r="F213" s="1"/>
    </row>
    <row r="214" spans="1:6">
      <c r="B214" s="1"/>
      <c r="C214" s="1"/>
      <c r="D214" s="1"/>
      <c r="E214" s="1"/>
      <c r="F214" s="1"/>
    </row>
    <row r="215" spans="1:6">
      <c r="A215" t="s">
        <v>135</v>
      </c>
      <c r="B215" s="1"/>
      <c r="C215" s="1"/>
      <c r="D215" s="1"/>
      <c r="E215" s="1"/>
      <c r="F215" s="1"/>
    </row>
    <row r="216" spans="1:6">
      <c r="A216" t="s">
        <v>135</v>
      </c>
      <c r="B216" s="1"/>
      <c r="C216" s="1"/>
      <c r="D216" s="1"/>
      <c r="E216" s="1"/>
      <c r="F216" s="1"/>
    </row>
    <row r="217" spans="1:6">
      <c r="B217" s="1"/>
      <c r="C217" s="1"/>
      <c r="D217" s="1"/>
      <c r="E217" s="1"/>
      <c r="F217" s="1"/>
    </row>
    <row r="218" spans="1:6">
      <c r="A218" t="s">
        <v>136</v>
      </c>
      <c r="B218" s="1" t="s">
        <v>3</v>
      </c>
      <c r="C218" s="1" t="s">
        <v>4</v>
      </c>
      <c r="D218" s="1" t="s">
        <v>5</v>
      </c>
      <c r="E218" s="1" t="s">
        <v>6</v>
      </c>
      <c r="F218" s="1" t="s">
        <v>7</v>
      </c>
    </row>
    <row r="219" spans="1:6">
      <c r="B219" s="1"/>
      <c r="C219" s="1"/>
      <c r="D219" s="1"/>
      <c r="E219" s="1"/>
      <c r="F219" s="1"/>
    </row>
    <row r="220" spans="1:6">
      <c r="B220" s="1"/>
      <c r="C220" s="1"/>
      <c r="D220" s="1"/>
      <c r="E220" s="1"/>
      <c r="F220" s="1"/>
    </row>
    <row r="221" spans="1:6">
      <c r="A221" t="s">
        <v>137</v>
      </c>
      <c r="B221" s="1"/>
      <c r="C221" s="1">
        <v>37369322.695</v>
      </c>
      <c r="D221" s="1">
        <v>29697159.903999999</v>
      </c>
      <c r="E221" s="1">
        <v>7672162.7910000002</v>
      </c>
      <c r="F221" s="1"/>
    </row>
    <row r="222" spans="1:6">
      <c r="B222" s="1"/>
      <c r="C222" s="1"/>
      <c r="D222" s="1"/>
      <c r="E222" s="1"/>
      <c r="F222" s="1"/>
    </row>
    <row r="223" spans="1:6">
      <c r="B223" s="1"/>
      <c r="C223" s="1"/>
      <c r="D223" s="1"/>
      <c r="E223" s="1"/>
      <c r="F223" s="1"/>
    </row>
    <row r="224" spans="1:6">
      <c r="B224" s="1"/>
      <c r="C224" s="1"/>
      <c r="D224" s="1"/>
      <c r="E224" s="1"/>
      <c r="F224" s="1"/>
    </row>
    <row r="225" spans="1:6">
      <c r="A225" t="s">
        <v>134</v>
      </c>
      <c r="B225" s="1"/>
      <c r="C225" s="1">
        <v>37369322.695</v>
      </c>
      <c r="D225" s="1">
        <v>29697159.903999999</v>
      </c>
      <c r="E225" s="1">
        <v>7672162.7910000002</v>
      </c>
      <c r="F225" s="1"/>
    </row>
    <row r="226" spans="1:6">
      <c r="B226" s="1"/>
      <c r="C226" s="1"/>
      <c r="D226" s="1"/>
      <c r="E226" s="1"/>
      <c r="F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ED$F8A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hp</cp:lastModifiedBy>
  <dcterms:created xsi:type="dcterms:W3CDTF">2026-02-18T11:35:09Z</dcterms:created>
  <dcterms:modified xsi:type="dcterms:W3CDTF">2026-05-03T13:21:03Z</dcterms:modified>
</cp:coreProperties>
</file>